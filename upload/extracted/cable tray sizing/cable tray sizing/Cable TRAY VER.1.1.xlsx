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 ONE\final\"/>
    </mc:Choice>
  </mc:AlternateContent>
  <xr:revisionPtr revIDLastSave="0" documentId="13_ncr:1000001_{499FBD44-170B-8C4F-BF66-0ABBC76635C7}" xr6:coauthVersionLast="47" xr6:coauthVersionMax="47" xr10:uidLastSave="{00000000-0000-0000-0000-000000000000}"/>
  <workbookProtection workbookAlgorithmName="SHA-512" workbookHashValue="hagYsf4QL00Mo7iNfz1uz1S6Cyw1JIsDXv7/5Myb+d0/jw7/LkHCWH5aFyYJR5YchbUrEu8dOmnWTd3no1TisQ==" workbookSaltValue="0B3VUy8oaUDpBSbLUW3g5w==" workbookSpinCount="100000" lockStructure="1"/>
  <bookViews>
    <workbookView xWindow="0" yWindow="0" windowWidth="20490" windowHeight="4755" activeTab="1" xr2:uid="{00000000-000D-0000-FFFF-FFFF00000000}"/>
  </bookViews>
  <sheets>
    <sheet name="Sheet1" sheetId="1" r:id="rId1"/>
    <sheet name="Cable TRAY VER.1.1" sheetId="2" r:id="rId2"/>
    <sheet name="Sheet3" sheetId="3" r:id="rId3"/>
  </sheets>
  <definedNames>
    <definedName name="_xlnm.Print_Area" localSheetId="1">'Cable TRAY VER.1.1'!$A$1:$S$37</definedName>
    <definedName name="Z_4E5CA08E_3683_4D14_8408_F5D4B305651C_.wvu.Cols" localSheetId="1" hidden="1">'Cable TRAY VER.1.1'!$H:$L,'Cable TRAY VER.1.1'!$P:$R</definedName>
    <definedName name="Z_4E5CA08E_3683_4D14_8408_F5D4B305651C_.wvu.Rows" localSheetId="1" hidden="1">'Cable TRAY VER.1.1'!$6:$6</definedName>
    <definedName name="Z_AA22313F_40A1_444E_9115_9C808CBE1FCA_.wvu.Cols" localSheetId="1" hidden="1">'Cable TRAY VER.1.1'!$H:$L,'Cable TRAY VER.1.1'!$P:$R</definedName>
    <definedName name="Z_AA22313F_40A1_444E_9115_9C808CBE1FCA_.wvu.Rows" localSheetId="1" hidden="1">'Cable TRAY VER.1.1'!$6:$6</definedName>
  </definedNames>
  <calcPr calcId="191028"/>
  <customWorkbookViews>
    <customWorkbookView name="1111" guid="{AA22313F-40A1-444E-9115-9C808CBE1FCA}" maximized="1" windowWidth="1276" windowHeight="798" activeSheetId="2"/>
    <customWorkbookView name="111" guid="{4E5CA08E-3683-4D14-8408-F5D4B305651C}" maximized="1" windowWidth="1276" windowHeight="79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34" i="2"/>
  <c r="J34" i="2"/>
  <c r="K34" i="2"/>
  <c r="H33" i="2"/>
  <c r="J33" i="2"/>
  <c r="K33" i="2"/>
  <c r="H32" i="2"/>
  <c r="J32" i="2"/>
  <c r="K32" i="2"/>
  <c r="H31" i="2"/>
  <c r="J31" i="2"/>
  <c r="K31" i="2"/>
  <c r="H30" i="2"/>
  <c r="J30" i="2"/>
  <c r="K30" i="2"/>
  <c r="H29" i="2"/>
  <c r="J29" i="2"/>
  <c r="K29" i="2"/>
  <c r="H28" i="2"/>
  <c r="J28" i="2"/>
  <c r="K28" i="2"/>
  <c r="H27" i="2"/>
  <c r="J27" i="2"/>
  <c r="K27" i="2"/>
  <c r="H26" i="2"/>
  <c r="J26" i="2"/>
  <c r="K26" i="2"/>
  <c r="H25" i="2"/>
  <c r="J25" i="2"/>
  <c r="K25" i="2"/>
  <c r="H24" i="2"/>
  <c r="J24" i="2"/>
  <c r="K24" i="2"/>
  <c r="H23" i="2"/>
  <c r="J23" i="2"/>
  <c r="K23" i="2"/>
  <c r="H22" i="2"/>
  <c r="J22" i="2"/>
  <c r="K22" i="2"/>
  <c r="H21" i="2"/>
  <c r="J21" i="2"/>
  <c r="K21" i="2"/>
  <c r="H20" i="2"/>
  <c r="J20" i="2"/>
  <c r="K20" i="2"/>
  <c r="H19" i="2"/>
  <c r="J19" i="2"/>
  <c r="K19" i="2"/>
  <c r="H18" i="2"/>
  <c r="J18" i="2"/>
  <c r="K18" i="2"/>
  <c r="H17" i="2"/>
  <c r="J17" i="2"/>
  <c r="K17" i="2"/>
  <c r="H16" i="2"/>
  <c r="J16" i="2"/>
  <c r="K16" i="2"/>
  <c r="H15" i="2"/>
  <c r="J15" i="2"/>
  <c r="K15" i="2"/>
  <c r="H14" i="2"/>
  <c r="J14" i="2"/>
  <c r="K14" i="2"/>
  <c r="H13" i="2"/>
  <c r="J13" i="2"/>
  <c r="K13" i="2"/>
  <c r="H12" i="2"/>
  <c r="J12" i="2"/>
  <c r="K12" i="2"/>
  <c r="J11" i="2"/>
  <c r="K11" i="2"/>
  <c r="H10" i="2"/>
  <c r="J10" i="2"/>
  <c r="H35" i="2"/>
  <c r="C3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U48" i="1"/>
  <c r="S48" i="1"/>
  <c r="Q48" i="1"/>
  <c r="O48" i="1"/>
  <c r="M48" i="1"/>
  <c r="K48" i="1"/>
  <c r="I48" i="1"/>
  <c r="G48" i="1"/>
  <c r="U47" i="1"/>
  <c r="S47" i="1"/>
  <c r="Q47" i="1"/>
  <c r="O47" i="1"/>
  <c r="M47" i="1"/>
  <c r="K47" i="1"/>
  <c r="I47" i="1"/>
  <c r="G47" i="1"/>
  <c r="U46" i="1"/>
  <c r="S46" i="1"/>
  <c r="Q46" i="1"/>
  <c r="O46" i="1"/>
  <c r="M46" i="1"/>
  <c r="K46" i="1"/>
  <c r="I46" i="1"/>
  <c r="G46" i="1"/>
  <c r="U45" i="1"/>
  <c r="S45" i="1"/>
  <c r="Q45" i="1"/>
  <c r="O45" i="1"/>
  <c r="M45" i="1"/>
  <c r="K45" i="1"/>
  <c r="I45" i="1"/>
  <c r="G45" i="1"/>
  <c r="U44" i="1"/>
  <c r="S44" i="1"/>
  <c r="Q44" i="1"/>
  <c r="O44" i="1"/>
  <c r="M44" i="1"/>
  <c r="K44" i="1"/>
  <c r="I44" i="1"/>
  <c r="G44" i="1"/>
  <c r="U43" i="1"/>
  <c r="S43" i="1"/>
  <c r="Q43" i="1"/>
  <c r="O43" i="1"/>
  <c r="M43" i="1"/>
  <c r="K43" i="1"/>
  <c r="I43" i="1"/>
  <c r="G43" i="1"/>
  <c r="U42" i="1"/>
  <c r="S42" i="1"/>
  <c r="Q42" i="1"/>
  <c r="O42" i="1"/>
  <c r="M42" i="1"/>
  <c r="K42" i="1"/>
  <c r="I42" i="1"/>
  <c r="G42" i="1"/>
  <c r="U41" i="1"/>
  <c r="S41" i="1"/>
  <c r="Q41" i="1"/>
  <c r="O41" i="1"/>
  <c r="M41" i="1"/>
  <c r="K41" i="1"/>
  <c r="I41" i="1"/>
  <c r="G41" i="1"/>
  <c r="U40" i="1"/>
  <c r="S40" i="1"/>
  <c r="Q40" i="1"/>
  <c r="O40" i="1"/>
  <c r="M40" i="1"/>
  <c r="K40" i="1"/>
  <c r="I40" i="1"/>
  <c r="G40" i="1"/>
  <c r="U39" i="1"/>
  <c r="S39" i="1"/>
  <c r="Q39" i="1"/>
  <c r="O39" i="1"/>
  <c r="M39" i="1"/>
  <c r="K39" i="1"/>
  <c r="I39" i="1"/>
  <c r="G39" i="1"/>
  <c r="U38" i="1"/>
  <c r="S38" i="1"/>
  <c r="Q38" i="1"/>
  <c r="O38" i="1"/>
  <c r="M38" i="1"/>
  <c r="K38" i="1"/>
  <c r="I38" i="1"/>
  <c r="G38" i="1"/>
  <c r="U64" i="1"/>
  <c r="S64" i="1"/>
  <c r="Q64" i="1"/>
  <c r="O64" i="1"/>
  <c r="M64" i="1"/>
  <c r="K64" i="1"/>
  <c r="I64" i="1"/>
  <c r="G64" i="1"/>
  <c r="E64" i="1"/>
  <c r="U63" i="1"/>
  <c r="S63" i="1"/>
  <c r="Q63" i="1"/>
  <c r="O63" i="1"/>
  <c r="M63" i="1"/>
  <c r="K63" i="1"/>
  <c r="I63" i="1"/>
  <c r="G63" i="1"/>
  <c r="E63" i="1"/>
  <c r="U62" i="1"/>
  <c r="S62" i="1"/>
  <c r="Q62" i="1"/>
  <c r="O62" i="1"/>
  <c r="M62" i="1"/>
  <c r="K62" i="1"/>
  <c r="I62" i="1"/>
  <c r="G62" i="1"/>
  <c r="E62" i="1"/>
  <c r="U61" i="1"/>
  <c r="S61" i="1"/>
  <c r="Q61" i="1"/>
  <c r="O61" i="1"/>
  <c r="M61" i="1"/>
  <c r="K61" i="1"/>
  <c r="I61" i="1"/>
  <c r="G61" i="1"/>
  <c r="E61" i="1"/>
  <c r="U60" i="1"/>
  <c r="S60" i="1"/>
  <c r="Q60" i="1"/>
  <c r="O60" i="1"/>
  <c r="M60" i="1"/>
  <c r="K60" i="1"/>
  <c r="I60" i="1"/>
  <c r="G60" i="1"/>
  <c r="E60" i="1"/>
  <c r="U59" i="1"/>
  <c r="S59" i="1"/>
  <c r="Q59" i="1"/>
  <c r="O59" i="1"/>
  <c r="M59" i="1"/>
  <c r="K59" i="1"/>
  <c r="I59" i="1"/>
  <c r="G59" i="1"/>
  <c r="E59" i="1"/>
  <c r="U58" i="1"/>
  <c r="S58" i="1"/>
  <c r="Q58" i="1"/>
  <c r="O58" i="1"/>
  <c r="M58" i="1"/>
  <c r="K58" i="1"/>
  <c r="I58" i="1"/>
  <c r="G58" i="1"/>
  <c r="E58" i="1"/>
  <c r="U57" i="1"/>
  <c r="S57" i="1"/>
  <c r="Q57" i="1"/>
  <c r="O57" i="1"/>
  <c r="M57" i="1"/>
  <c r="K57" i="1"/>
  <c r="I57" i="1"/>
  <c r="G57" i="1"/>
  <c r="E57" i="1"/>
  <c r="U56" i="1"/>
  <c r="S56" i="1"/>
  <c r="Q56" i="1"/>
  <c r="O56" i="1"/>
  <c r="M56" i="1"/>
  <c r="K56" i="1"/>
  <c r="I56" i="1"/>
  <c r="G56" i="1"/>
  <c r="E56" i="1"/>
  <c r="U55" i="1"/>
  <c r="S55" i="1"/>
  <c r="Q55" i="1"/>
  <c r="O55" i="1"/>
  <c r="M55" i="1"/>
  <c r="K55" i="1"/>
  <c r="I55" i="1"/>
  <c r="G55" i="1"/>
  <c r="E55" i="1"/>
  <c r="U54" i="1"/>
  <c r="S54" i="1"/>
  <c r="Q54" i="1"/>
  <c r="O54" i="1"/>
  <c r="M54" i="1"/>
  <c r="K54" i="1"/>
  <c r="I54" i="1"/>
  <c r="G54" i="1"/>
  <c r="E54" i="1"/>
  <c r="U65" i="1"/>
  <c r="S65" i="1"/>
  <c r="Q65" i="1"/>
  <c r="O65" i="1"/>
  <c r="M65" i="1"/>
  <c r="K65" i="1"/>
  <c r="I65" i="1"/>
  <c r="G65" i="1"/>
  <c r="E65" i="1"/>
  <c r="U49" i="1"/>
  <c r="S49" i="1"/>
  <c r="Q49" i="1"/>
  <c r="O49" i="1"/>
  <c r="M49" i="1"/>
  <c r="K49" i="1"/>
  <c r="I49" i="1"/>
  <c r="G49" i="1"/>
  <c r="E49" i="1"/>
  <c r="E48" i="1"/>
  <c r="E47" i="1"/>
  <c r="E46" i="1"/>
  <c r="E45" i="1"/>
  <c r="E44" i="1"/>
  <c r="E43" i="1"/>
  <c r="E42" i="1"/>
  <c r="E41" i="1"/>
  <c r="E40" i="1"/>
  <c r="E39" i="1"/>
  <c r="E38" i="1"/>
  <c r="K10" i="2"/>
  <c r="K35" i="2"/>
  <c r="I10" i="2"/>
  <c r="I35" i="2"/>
  <c r="P14" i="2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P24" i="2"/>
  <c r="P23" i="2"/>
  <c r="C32" i="1"/>
  <c r="C31" i="1"/>
  <c r="C30" i="1"/>
  <c r="C29" i="1"/>
  <c r="C28" i="1"/>
  <c r="C27" i="1"/>
  <c r="C26" i="1"/>
  <c r="C25" i="1"/>
  <c r="C2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R23" i="2"/>
  <c r="Q14" i="2"/>
  <c r="N47" i="1"/>
  <c r="P45" i="1"/>
  <c r="F45" i="1"/>
  <c r="L44" i="1"/>
  <c r="N43" i="1"/>
  <c r="J42" i="1"/>
  <c r="P41" i="1"/>
  <c r="F41" i="1"/>
  <c r="L40" i="1"/>
  <c r="N39" i="1"/>
  <c r="J38" i="1"/>
  <c r="V49" i="1"/>
  <c r="N49" i="1"/>
  <c r="F49" i="1"/>
  <c r="D46" i="1"/>
  <c r="D42" i="1"/>
  <c r="D38" i="1"/>
  <c r="T45" i="1"/>
  <c r="F44" i="1"/>
  <c r="T41" i="1"/>
  <c r="F40" i="1"/>
  <c r="T49" i="1"/>
  <c r="D49" i="1"/>
  <c r="D41" i="1"/>
  <c r="V47" i="1"/>
  <c r="F47" i="1"/>
  <c r="H45" i="1"/>
  <c r="T44" i="1"/>
  <c r="V43" i="1"/>
  <c r="F43" i="1"/>
  <c r="R42" i="1"/>
  <c r="H41" i="1"/>
  <c r="T40" i="1"/>
  <c r="V39" i="1"/>
  <c r="F39" i="1"/>
  <c r="R38" i="1"/>
  <c r="R49" i="1"/>
  <c r="J49" i="1"/>
  <c r="D48" i="1"/>
  <c r="D44" i="1"/>
  <c r="D40" i="1"/>
  <c r="J47" i="1"/>
  <c r="F46" i="1"/>
  <c r="L45" i="1"/>
  <c r="H44" i="1"/>
  <c r="J43" i="1"/>
  <c r="V42" i="1"/>
  <c r="F42" i="1"/>
  <c r="L41" i="1"/>
  <c r="H40" i="1"/>
  <c r="J39" i="1"/>
  <c r="V38" i="1"/>
  <c r="F38" i="1"/>
  <c r="P49" i="1"/>
  <c r="H49" i="1"/>
  <c r="D47" i="1"/>
  <c r="D43" i="1"/>
  <c r="D39" i="1"/>
  <c r="F48" i="1"/>
  <c r="R47" i="1"/>
  <c r="P44" i="1"/>
  <c r="R43" i="1"/>
  <c r="N42" i="1"/>
  <c r="P40" i="1"/>
  <c r="R39" i="1"/>
  <c r="N38" i="1"/>
  <c r="L49" i="1"/>
  <c r="D45" i="1"/>
  <c r="H43" i="1"/>
  <c r="V48" i="1"/>
  <c r="R41" i="1"/>
  <c r="R45" i="1"/>
  <c r="J48" i="1"/>
  <c r="J40" i="1"/>
  <c r="J44" i="1"/>
  <c r="L47" i="1"/>
  <c r="V40" i="1"/>
  <c r="N48" i="1"/>
  <c r="V41" i="1"/>
  <c r="V45" i="1"/>
  <c r="J45" i="1"/>
  <c r="L38" i="1"/>
  <c r="L42" i="1"/>
  <c r="N46" i="1"/>
  <c r="R48" i="1"/>
  <c r="N41" i="1"/>
  <c r="N45" i="1"/>
  <c r="L48" i="1"/>
  <c r="T42" i="1"/>
  <c r="P38" i="1"/>
  <c r="P42" i="1"/>
  <c r="L46" i="1"/>
  <c r="P48" i="1"/>
  <c r="H39" i="1"/>
  <c r="J46" i="1"/>
  <c r="P39" i="1"/>
  <c r="P43" i="1"/>
  <c r="V46" i="1"/>
  <c r="H38" i="1"/>
  <c r="H42" i="1"/>
  <c r="H46" i="1"/>
  <c r="T48" i="1"/>
  <c r="V44" i="1"/>
  <c r="T39" i="1"/>
  <c r="T43" i="1"/>
  <c r="T46" i="1"/>
  <c r="J41" i="1"/>
  <c r="H47" i="1"/>
  <c r="N40" i="1"/>
  <c r="N44" i="1"/>
  <c r="P47" i="1"/>
  <c r="L39" i="1"/>
  <c r="L43" i="1"/>
  <c r="P46" i="1"/>
  <c r="T38" i="1"/>
  <c r="R46" i="1"/>
  <c r="R40" i="1"/>
  <c r="R44" i="1"/>
  <c r="T47" i="1"/>
  <c r="H48" i="1"/>
  <c r="P65" i="1"/>
  <c r="H65" i="1"/>
  <c r="D63" i="1"/>
  <c r="D59" i="1"/>
  <c r="D55" i="1"/>
  <c r="L65" i="1"/>
  <c r="D61" i="1"/>
  <c r="R65" i="1"/>
  <c r="D60" i="1"/>
  <c r="V65" i="1"/>
  <c r="N65" i="1"/>
  <c r="F65" i="1"/>
  <c r="D62" i="1"/>
  <c r="D58" i="1"/>
  <c r="D54" i="1"/>
  <c r="T65" i="1"/>
  <c r="D65" i="1"/>
  <c r="D57" i="1"/>
  <c r="J65" i="1"/>
  <c r="D64" i="1"/>
  <c r="D56" i="1"/>
  <c r="V55" i="1"/>
  <c r="N59" i="1"/>
  <c r="F63" i="1"/>
  <c r="H55" i="1"/>
  <c r="J58" i="1"/>
  <c r="L61" i="1"/>
  <c r="V64" i="1"/>
  <c r="R55" i="1"/>
  <c r="N57" i="1"/>
  <c r="J59" i="1"/>
  <c r="F61" i="1"/>
  <c r="T62" i="1"/>
  <c r="P64" i="1"/>
  <c r="J57" i="1"/>
  <c r="T60" i="1"/>
  <c r="L64" i="1"/>
  <c r="L57" i="1"/>
  <c r="T61" i="1"/>
  <c r="F54" i="1"/>
  <c r="T55" i="1"/>
  <c r="P57" i="1"/>
  <c r="L59" i="1"/>
  <c r="H61" i="1"/>
  <c r="V62" i="1"/>
  <c r="R64" i="1"/>
  <c r="H54" i="1"/>
  <c r="T64" i="1"/>
  <c r="F60" i="1"/>
  <c r="T54" i="1"/>
  <c r="H60" i="1"/>
  <c r="R63" i="1"/>
  <c r="P62" i="1"/>
  <c r="P59" i="1"/>
  <c r="V54" i="1"/>
  <c r="J60" i="1"/>
  <c r="T63" i="1"/>
  <c r="F55" i="1"/>
  <c r="H62" i="1"/>
  <c r="N60" i="1"/>
  <c r="J55" i="1"/>
  <c r="T58" i="1"/>
  <c r="L62" i="1"/>
  <c r="L56" i="1"/>
  <c r="N56" i="1"/>
  <c r="N64" i="1"/>
  <c r="H57" i="1"/>
  <c r="R60" i="1"/>
  <c r="T56" i="1"/>
  <c r="L60" i="1"/>
  <c r="V63" i="1"/>
  <c r="F56" i="1"/>
  <c r="H59" i="1"/>
  <c r="J62" i="1"/>
  <c r="L54" i="1"/>
  <c r="H56" i="1"/>
  <c r="V57" i="1"/>
  <c r="R59" i="1"/>
  <c r="N61" i="1"/>
  <c r="J63" i="1"/>
  <c r="P54" i="1"/>
  <c r="H58" i="1"/>
  <c r="R61" i="1"/>
  <c r="J54" i="1"/>
  <c r="R58" i="1"/>
  <c r="R62" i="1"/>
  <c r="N54" i="1"/>
  <c r="J56" i="1"/>
  <c r="F58" i="1"/>
  <c r="T59" i="1"/>
  <c r="P61" i="1"/>
  <c r="L63" i="1"/>
  <c r="R57" i="1"/>
  <c r="J61" i="1"/>
  <c r="V56" i="1"/>
  <c r="H63" i="1"/>
  <c r="P56" i="1"/>
  <c r="L58" i="1"/>
  <c r="V61" i="1"/>
  <c r="N55" i="1"/>
  <c r="F59" i="1"/>
  <c r="P55" i="1"/>
  <c r="P63" i="1"/>
  <c r="R56" i="1"/>
  <c r="N58" i="1"/>
  <c r="F62" i="1"/>
  <c r="P58" i="1"/>
  <c r="R54" i="1"/>
  <c r="T57" i="1"/>
  <c r="F64" i="1"/>
  <c r="F57" i="1"/>
  <c r="P60" i="1"/>
  <c r="H64" i="1"/>
  <c r="V59" i="1"/>
  <c r="N63" i="1"/>
  <c r="V60" i="1"/>
  <c r="L55" i="1"/>
  <c r="V58" i="1"/>
  <c r="N62" i="1"/>
  <c r="J64" i="1"/>
  <c r="P13" i="2"/>
  <c r="O13" i="2"/>
  <c r="Q13" i="2"/>
  <c r="M13" i="2"/>
  <c r="P25" i="2"/>
  <c r="P26" i="2"/>
  <c r="P27" i="2"/>
  <c r="Q23" i="2"/>
  <c r="M23" i="2"/>
</calcChain>
</file>

<file path=xl/sharedStrings.xml><?xml version="1.0" encoding="utf-8"?>
<sst xmlns="http://schemas.openxmlformats.org/spreadsheetml/2006/main" count="129" uniqueCount="52">
  <si>
    <t>OVERALL DIA          mm</t>
  </si>
  <si>
    <t>FOUR CORE CABLES</t>
  </si>
  <si>
    <t>FOUR CORE CABLES with Reduced Neutral</t>
  </si>
  <si>
    <t>SINGLE CORE CABLES</t>
  </si>
  <si>
    <t>mm2</t>
  </si>
  <si>
    <t>STEP-2</t>
  </si>
  <si>
    <t>NO. OF PARALLEL 
CABLE TRAYS</t>
  </si>
  <si>
    <t>WIDTH (mm)</t>
  </si>
  <si>
    <t>DIA(mm)
FOR ONE CABLE</t>
  </si>
  <si>
    <t>CSA(mm2)
FOR NO. OF CABLES</t>
  </si>
  <si>
    <t>CSA(mm2)
FOR ONE CABLE</t>
  </si>
  <si>
    <t xml:space="preserve"> </t>
  </si>
  <si>
    <t>TABLE 392.22(A)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</si>
  <si>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</si>
  <si>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</si>
  <si>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</si>
  <si>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</si>
  <si>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</si>
  <si>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</si>
  <si>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</si>
  <si>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</si>
  <si>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</si>
  <si>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</t>
  </si>
  <si>
    <t>WIDTH</t>
  </si>
  <si>
    <t>SINGLE CORE ARMOURED CABLE CU-XLPE 22 Kv</t>
  </si>
  <si>
    <t>THREE CORE ARMOURED CABLE CU-XLPE 22 Kv</t>
  </si>
  <si>
    <t>STEP-1</t>
  </si>
  <si>
    <t>LV</t>
  </si>
  <si>
    <t>MV</t>
  </si>
  <si>
    <t>STEP-4</t>
  </si>
  <si>
    <t>Single core</t>
  </si>
  <si>
    <t>M</t>
  </si>
  <si>
    <t>Multi core</t>
  </si>
  <si>
    <t>Warning text:</t>
  </si>
  <si>
    <t>TOTAL DIA(mm)
FOR NO. OF CABLES</t>
  </si>
  <si>
    <t>Low Voltage
OR 
MV  Cables</t>
  </si>
  <si>
    <t>NO. of 
Identical
Cables</t>
  </si>
  <si>
    <t>Cable Data</t>
  </si>
  <si>
    <t>Automatic</t>
  </si>
  <si>
    <t>By: Eng. Mohamed Sleem                                      moh.aly.sleem@gmail.com</t>
  </si>
  <si>
    <t>Manual 
(SELECT TRAY WIDTH BEFORE)</t>
  </si>
  <si>
    <r>
      <t>CABLE     SIZE       mm</t>
    </r>
    <r>
      <rPr>
        <b/>
        <sz val="12"/>
        <color theme="0"/>
        <rFont val="Calibri"/>
        <family val="2"/>
      </rPr>
      <t>²</t>
    </r>
  </si>
  <si>
    <r>
      <t>CSA           mm</t>
    </r>
    <r>
      <rPr>
        <b/>
        <sz val="12"/>
        <color theme="0"/>
        <rFont val="Calibri"/>
        <family val="2"/>
      </rPr>
      <t>²</t>
    </r>
  </si>
  <si>
    <r>
      <t>CSA      mm</t>
    </r>
    <r>
      <rPr>
        <b/>
        <sz val="12"/>
        <color theme="0"/>
        <rFont val="Calibri"/>
        <family val="2"/>
      </rPr>
      <t>²</t>
    </r>
  </si>
  <si>
    <r>
      <rPr>
        <sz val="8"/>
        <color theme="0"/>
        <rFont val="Arial"/>
        <family val="34"/>
      </rPr>
      <t>Number of cores x cross-section of conductor
mm</t>
    </r>
    <r>
      <rPr>
        <sz val="4"/>
        <color theme="0"/>
        <rFont val="Arial"/>
        <family val="34"/>
      </rPr>
      <t>2</t>
    </r>
  </si>
  <si>
    <r>
      <rPr>
        <sz val="8"/>
        <color theme="0"/>
        <rFont val="Arial"/>
        <family val="34"/>
      </rPr>
      <t>Diameter over insulation  mm</t>
    </r>
  </si>
  <si>
    <r>
      <rPr>
        <sz val="8"/>
        <color theme="0"/>
        <rFont val="Arial"/>
        <family val="34"/>
      </rPr>
      <t>Diameter over inner sheath (approx.)
mm</t>
    </r>
  </si>
  <si>
    <r>
      <rPr>
        <sz val="8"/>
        <color theme="0"/>
        <rFont val="Arial"/>
        <family val="34"/>
      </rPr>
      <t>Diameter of steel wires
mm</t>
    </r>
  </si>
  <si>
    <r>
      <rPr>
        <sz val="8"/>
        <color theme="0"/>
        <rFont val="Arial"/>
        <family val="34"/>
      </rPr>
      <t>Overall diameter
(approx.)
mm</t>
    </r>
  </si>
  <si>
    <r>
      <rPr>
        <sz val="8"/>
        <color theme="0"/>
        <rFont val="Arial"/>
        <family val="34"/>
      </rPr>
      <t>Weight (approx.) Kg/100 m</t>
    </r>
  </si>
  <si>
    <r>
      <rPr>
        <sz val="11"/>
        <color rgb="FFFF0000"/>
        <rFont val="Calibri"/>
        <family val="2"/>
        <scheme val="minor"/>
      </rPr>
      <t>Notes:</t>
    </r>
    <r>
      <rPr>
        <sz val="11"/>
        <color theme="9" tint="-0.499984740745262"/>
        <rFont val="Calibri"/>
        <family val="2"/>
        <scheme val="minor"/>
      </rPr>
      <t xml:space="preserve">
1- Cable tray sizing based on NEC code section 392.22.
2- The allowable fill ratio of multi core cables approximately used for single core cables. 
3- The cable sizes (mm2) as per the IEC standard.
4- The input data of the LV cables as per 2kv rating &amp; non-armoured type.
5- The input data of the MV cables as per 22kv rating &amp; armoured type.</t>
    </r>
  </si>
  <si>
    <t>" وَقُلِ اعْمَلُوا فَسَيَرَى اللَّهُ عَمَلَكُمْ وَرَسُولُهُ وَالْمُؤْمِنُونَ"
“And say (unto them): Act! Allah will behold your actions, and (so will) His messenger and the believers,” Suraht At-Taubah (105)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</si>
</sst>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2"/>
      <color theme="0"/>
      <name val="Calibri"/>
      <family val="2"/>
    </font>
    <font>
      <sz val="8"/>
      <color theme="0"/>
      <name val="Arial"/>
      <family val="34"/>
    </font>
    <font>
      <sz val="4"/>
      <color theme="0"/>
      <name val="Arial"/>
      <family val="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</cellStyleXfs>
  <cellXfs count="81">
    <xf numFmtId="0" fontId="0" fillId="0" borderId="0" xfId="0"/>
    <xf numFmtId="0" fontId="0" fillId="0" borderId="0" xfId="0" applyProtection="1"/>
    <xf numFmtId="0" fontId="8" fillId="6" borderId="1" xfId="1" applyFont="1" applyFill="1" applyBorder="1" applyAlignment="1" applyProtection="1">
      <alignment horizontal="center" vertical="center"/>
    </xf>
    <xf numFmtId="0" fontId="13" fillId="3" borderId="17" xfId="3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14" fillId="3" borderId="17" xfId="3" applyFont="1" applyBorder="1" applyAlignment="1" applyProtection="1">
      <alignment horizontal="center" vertical="center"/>
    </xf>
    <xf numFmtId="164" fontId="0" fillId="0" borderId="17" xfId="0" applyNumberFormat="1" applyBorder="1" applyAlignment="1" applyProtection="1">
      <alignment horizontal="center" vertical="center"/>
    </xf>
    <xf numFmtId="0" fontId="0" fillId="0" borderId="17" xfId="0" applyBorder="1" applyProtection="1"/>
    <xf numFmtId="0" fontId="13" fillId="3" borderId="0" xfId="3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14" fillId="3" borderId="0" xfId="3" applyFont="1" applyBorder="1" applyAlignment="1" applyProtection="1">
      <alignment horizontal="center" vertical="center"/>
    </xf>
    <xf numFmtId="164" fontId="0" fillId="0" borderId="0" xfId="0" applyNumberFormat="1" applyBorder="1" applyAlignment="1" applyProtection="1">
      <alignment horizontal="center" vertical="center"/>
    </xf>
    <xf numFmtId="0" fontId="0" fillId="0" borderId="0" xfId="0" applyBorder="1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13" fillId="3" borderId="10" xfId="3" applyFont="1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14" fillId="3" borderId="10" xfId="3" applyFont="1" applyBorder="1" applyAlignment="1" applyProtection="1">
      <alignment horizontal="center" vertical="center"/>
    </xf>
    <xf numFmtId="164" fontId="0" fillId="0" borderId="10" xfId="0" applyNumberFormat="1" applyBorder="1" applyAlignment="1" applyProtection="1">
      <alignment horizontal="center" vertical="center"/>
    </xf>
    <xf numFmtId="0" fontId="0" fillId="0" borderId="10" xfId="0" applyBorder="1" applyProtection="1"/>
    <xf numFmtId="164" fontId="0" fillId="0" borderId="0" xfId="0" applyNumberFormat="1" applyProtection="1"/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Border="1" applyProtection="1"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164" fontId="4" fillId="0" borderId="0" xfId="0" applyNumberFormat="1" applyFont="1" applyBorder="1" applyAlignment="1" applyProtection="1">
      <alignment horizontal="center" vertical="center"/>
      <protection hidden="1"/>
    </xf>
    <xf numFmtId="165" fontId="4" fillId="0" borderId="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 vertical="center"/>
      <protection locked="0"/>
    </xf>
    <xf numFmtId="0" fontId="20" fillId="7" borderId="18" xfId="3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20" fillId="7" borderId="19" xfId="3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7" borderId="20" xfId="3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10" fillId="2" borderId="1" xfId="2" applyFont="1" applyBorder="1" applyAlignment="1" applyProtection="1">
      <alignment horizontal="center" vertical="center"/>
    </xf>
    <xf numFmtId="0" fontId="12" fillId="4" borderId="1" xfId="4" applyFont="1" applyBorder="1" applyAlignment="1" applyProtection="1">
      <alignment horizontal="center" vertical="center" wrapText="1"/>
    </xf>
    <xf numFmtId="0" fontId="12" fillId="4" borderId="1" xfId="4" applyFont="1" applyBorder="1" applyAlignment="1" applyProtection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</xf>
    <xf numFmtId="0" fontId="19" fillId="0" borderId="0" xfId="0" applyFont="1" applyAlignment="1" applyProtection="1">
      <alignment horizontal="center" vertical="center" wrapText="1"/>
    </xf>
    <xf numFmtId="0" fontId="19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15" fillId="0" borderId="0" xfId="0" applyFont="1" applyBorder="1" applyAlignment="1" applyProtection="1">
      <alignment horizontal="left" vertical="center" wrapText="1"/>
    </xf>
    <xf numFmtId="0" fontId="15" fillId="0" borderId="10" xfId="0" applyFont="1" applyBorder="1" applyAlignment="1" applyProtection="1">
      <alignment horizontal="left" vertical="center" wrapText="1"/>
    </xf>
    <xf numFmtId="0" fontId="7" fillId="6" borderId="1" xfId="1" applyFont="1" applyFill="1" applyBorder="1" applyAlignment="1" applyProtection="1">
      <alignment horizontal="left" vertical="center"/>
    </xf>
    <xf numFmtId="0" fontId="0" fillId="0" borderId="4" xfId="0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12" fillId="4" borderId="2" xfId="4" applyFont="1" applyBorder="1" applyAlignment="1" applyProtection="1">
      <alignment horizontal="center" vertical="center" wrapText="1"/>
    </xf>
    <xf numFmtId="0" fontId="12" fillId="4" borderId="3" xfId="4" applyFont="1" applyBorder="1" applyAlignment="1" applyProtection="1">
      <alignment horizontal="center" vertical="center" wrapText="1"/>
    </xf>
    <xf numFmtId="0" fontId="12" fillId="4" borderId="4" xfId="4" applyFont="1" applyBorder="1" applyAlignment="1" applyProtection="1">
      <alignment horizontal="center" vertical="center" wrapText="1"/>
    </xf>
    <xf numFmtId="0" fontId="12" fillId="4" borderId="5" xfId="4" applyFont="1" applyBorder="1" applyAlignment="1" applyProtection="1">
      <alignment horizontal="center" vertical="center" wrapText="1"/>
    </xf>
    <xf numFmtId="0" fontId="12" fillId="4" borderId="6" xfId="4" applyFont="1" applyBorder="1" applyAlignment="1" applyProtection="1">
      <alignment horizontal="center" vertical="center" wrapText="1"/>
    </xf>
    <xf numFmtId="0" fontId="12" fillId="4" borderId="7" xfId="4" applyFont="1" applyBorder="1" applyAlignment="1" applyProtection="1">
      <alignment horizontal="center" vertical="center" wrapText="1"/>
    </xf>
    <xf numFmtId="0" fontId="10" fillId="2" borderId="2" xfId="2" applyFont="1" applyBorder="1" applyAlignment="1" applyProtection="1">
      <alignment horizontal="center" vertical="center"/>
    </xf>
    <xf numFmtId="0" fontId="10" fillId="2" borderId="3" xfId="2" applyFont="1" applyBorder="1" applyAlignment="1" applyProtection="1">
      <alignment horizontal="center" vertical="center"/>
    </xf>
    <xf numFmtId="0" fontId="10" fillId="2" borderId="4" xfId="2" applyFont="1" applyBorder="1" applyAlignment="1" applyProtection="1">
      <alignment horizontal="center" vertical="center"/>
    </xf>
    <xf numFmtId="0" fontId="10" fillId="2" borderId="5" xfId="2" applyFont="1" applyBorder="1" applyAlignment="1" applyProtection="1">
      <alignment horizontal="center" vertical="center"/>
    </xf>
    <xf numFmtId="0" fontId="10" fillId="2" borderId="6" xfId="2" applyFont="1" applyBorder="1" applyAlignment="1" applyProtection="1">
      <alignment horizontal="center" vertical="center"/>
    </xf>
    <xf numFmtId="0" fontId="10" fillId="2" borderId="7" xfId="2" applyFont="1" applyBorder="1" applyAlignment="1" applyProtection="1">
      <alignment horizontal="center" vertical="center"/>
    </xf>
    <xf numFmtId="0" fontId="11" fillId="5" borderId="1" xfId="5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21" fillId="5" borderId="11" xfId="5" applyFont="1" applyBorder="1" applyAlignment="1" applyProtection="1">
      <alignment horizontal="center" vertical="center" wrapText="1"/>
    </xf>
    <xf numFmtId="0" fontId="21" fillId="5" borderId="12" xfId="5" applyFont="1" applyBorder="1" applyAlignment="1" applyProtection="1">
      <alignment horizontal="center" vertical="center" wrapText="1"/>
    </xf>
    <xf numFmtId="0" fontId="21" fillId="5" borderId="13" xfId="5" applyFont="1" applyBorder="1" applyAlignment="1" applyProtection="1">
      <alignment horizontal="center" vertical="center" wrapText="1"/>
    </xf>
    <xf numFmtId="0" fontId="21" fillId="5" borderId="14" xfId="5" applyFont="1" applyBorder="1" applyAlignment="1" applyProtection="1">
      <alignment horizontal="center" vertical="center" wrapText="1"/>
    </xf>
    <xf numFmtId="0" fontId="21" fillId="5" borderId="15" xfId="5" applyFont="1" applyBorder="1" applyAlignment="1" applyProtection="1">
      <alignment horizontal="center" vertical="center" wrapText="1"/>
    </xf>
    <xf numFmtId="0" fontId="21" fillId="5" borderId="16" xfId="5" applyFont="1" applyBorder="1" applyAlignment="1" applyProtection="1">
      <alignment horizontal="center" vertical="center" wrapText="1"/>
    </xf>
    <xf numFmtId="0" fontId="22" fillId="5" borderId="8" xfId="5" applyFont="1" applyBorder="1" applyAlignment="1" applyProtection="1">
      <alignment horizontal="center" vertical="center"/>
    </xf>
    <xf numFmtId="0" fontId="22" fillId="5" borderId="9" xfId="5" applyFont="1" applyBorder="1" applyAlignment="1" applyProtection="1">
      <alignment horizontal="center" vertical="center"/>
    </xf>
    <xf numFmtId="0" fontId="9" fillId="3" borderId="1" xfId="3" applyFont="1" applyBorder="1" applyAlignment="1" applyProtection="1">
      <alignment horizontal="center" vertical="center" wrapText="1"/>
    </xf>
    <xf numFmtId="0" fontId="9" fillId="3" borderId="1" xfId="3" applyFont="1" applyBorder="1" applyAlignment="1" applyProtection="1">
      <alignment horizontal="center" vertical="center"/>
    </xf>
    <xf numFmtId="0" fontId="12" fillId="4" borderId="1" xfId="4" applyFont="1" applyBorder="1" applyAlignment="1" applyProtection="1">
      <alignment horizontal="center"/>
    </xf>
    <xf numFmtId="0" fontId="10" fillId="2" borderId="1" xfId="2" applyFont="1" applyBorder="1" applyAlignment="1" applyProtection="1">
      <alignment horizontal="center"/>
    </xf>
  </cellXfs>
  <cellStyles count="6">
    <cellStyle name="20% - Accent1" xfId="3" builtinId="30"/>
    <cellStyle name="40% - Accent2" xfId="5" builtinId="35"/>
    <cellStyle name="60% - Accent1" xfId="4" builtinId="32"/>
    <cellStyle name="Accent1" xfId="2" builtinId="29"/>
    <cellStyle name="Normal" xfId="0" builtinId="0"/>
    <cellStyle name="Warning Text" xfId="1" builtinId="11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 /><Relationship Id="rId2" Type="http://schemas.openxmlformats.org/officeDocument/2006/relationships/printerSettings" Target="../printerSettings/printerSettings2.bin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 /><Relationship Id="rId2" Type="http://schemas.openxmlformats.org/officeDocument/2006/relationships/printerSettings" Target="../printerSettings/printerSettings5.bin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97"/>
  <sheetViews>
    <sheetView zoomScale="70" zoomScaleNormal="70" workbookViewId="0">
      <selection activeCell="R19" sqref="R19"/>
    </sheetView>
  </sheetViews>
  <sheetFormatPr defaultRowHeight="15" x14ac:dyDescent="0.2"/>
  <cols>
    <col min="1" max="1" width="13.31640625" style="22" customWidth="1"/>
    <col min="2" max="2" width="20.58203125" style="27" customWidth="1"/>
    <col min="3" max="3" width="10.76171875" style="22" customWidth="1"/>
    <col min="4" max="9" width="8.875" style="22"/>
    <col min="10" max="10" width="8.875" style="22" customWidth="1"/>
    <col min="11" max="11" width="8.875" style="22"/>
    <col min="12" max="12" width="11.1640625" style="22" customWidth="1"/>
    <col min="13" max="13" width="8.875" style="22"/>
    <col min="14" max="14" width="8.875" style="22" customWidth="1"/>
    <col min="15" max="40" width="8.875" style="22"/>
  </cols>
  <sheetData>
    <row r="1" spans="1:13" x14ac:dyDescent="0.2">
      <c r="A1" s="34" t="s">
        <v>1</v>
      </c>
      <c r="B1" s="34"/>
      <c r="C1" s="34"/>
      <c r="E1" s="34" t="s">
        <v>3</v>
      </c>
      <c r="F1" s="34"/>
      <c r="G1" s="34"/>
    </row>
    <row r="2" spans="1:13" x14ac:dyDescent="0.2">
      <c r="A2" s="34"/>
      <c r="B2" s="34"/>
      <c r="C2" s="34"/>
      <c r="E2" s="34"/>
      <c r="F2" s="34"/>
      <c r="G2" s="34"/>
    </row>
    <row r="3" spans="1:13" ht="45.6" customHeight="1" x14ac:dyDescent="0.2">
      <c r="A3" s="23" t="s">
        <v>41</v>
      </c>
      <c r="B3" s="23" t="s">
        <v>0</v>
      </c>
      <c r="C3" s="23" t="s">
        <v>42</v>
      </c>
      <c r="E3" s="23" t="s">
        <v>41</v>
      </c>
      <c r="F3" s="23" t="s">
        <v>0</v>
      </c>
      <c r="G3" s="23" t="s">
        <v>43</v>
      </c>
      <c r="I3" s="24">
        <v>1.5</v>
      </c>
      <c r="J3" s="21"/>
      <c r="K3" s="21"/>
      <c r="L3" s="21" t="s">
        <v>30</v>
      </c>
      <c r="M3" s="21" t="s">
        <v>27</v>
      </c>
    </row>
    <row r="4" spans="1:13" ht="31.15" customHeight="1" x14ac:dyDescent="0.2">
      <c r="A4" s="23" t="s">
        <v>31</v>
      </c>
      <c r="B4" s="23">
        <v>0</v>
      </c>
      <c r="C4" s="23">
        <v>0</v>
      </c>
      <c r="E4" s="23">
        <v>0</v>
      </c>
      <c r="F4" s="23">
        <v>0</v>
      </c>
      <c r="G4" s="23">
        <v>0</v>
      </c>
      <c r="I4" s="24">
        <v>2.5</v>
      </c>
      <c r="J4" s="21"/>
      <c r="K4" s="21"/>
      <c r="L4" s="21" t="s">
        <v>32</v>
      </c>
      <c r="M4" s="21" t="s">
        <v>28</v>
      </c>
    </row>
    <row r="5" spans="1:13" ht="27.6" customHeight="1" x14ac:dyDescent="0.2">
      <c r="A5" s="24">
        <v>1.5</v>
      </c>
      <c r="B5" s="25">
        <v>10.6</v>
      </c>
      <c r="C5" s="26">
        <f>3.14*(B5*B5/4)</f>
        <v>88.202600000000004</v>
      </c>
      <c r="E5" s="24">
        <v>4</v>
      </c>
      <c r="F5" s="25">
        <v>7</v>
      </c>
      <c r="G5" s="24">
        <f>3.14*(F5*F5/4)</f>
        <v>38.465000000000003</v>
      </c>
      <c r="I5" s="24">
        <v>4</v>
      </c>
      <c r="K5" s="24"/>
      <c r="L5" s="24"/>
    </row>
    <row r="6" spans="1:13" ht="30.6" customHeight="1" x14ac:dyDescent="0.2">
      <c r="A6" s="24">
        <v>2.5</v>
      </c>
      <c r="B6" s="25">
        <v>11.9</v>
      </c>
      <c r="C6" s="26">
        <f t="shared" ref="C6:C20" si="0">3.14*(B6*B6/4)</f>
        <v>111.16385000000001</v>
      </c>
      <c r="E6" s="24">
        <v>6</v>
      </c>
      <c r="F6" s="25">
        <v>7.9</v>
      </c>
      <c r="G6" s="26">
        <f t="shared" ref="G6:G23" si="1">3.14*(F6*F6/4)</f>
        <v>48.991850000000007</v>
      </c>
      <c r="I6" s="24">
        <v>6</v>
      </c>
      <c r="J6" s="21"/>
    </row>
    <row r="7" spans="1:13" x14ac:dyDescent="0.2">
      <c r="A7" s="24">
        <v>4</v>
      </c>
      <c r="B7" s="25">
        <v>13.4</v>
      </c>
      <c r="C7" s="26">
        <f t="shared" si="0"/>
        <v>140.9546</v>
      </c>
      <c r="E7" s="24">
        <v>10</v>
      </c>
      <c r="F7" s="25">
        <v>8.9</v>
      </c>
      <c r="G7" s="26">
        <f t="shared" si="1"/>
        <v>62.179850000000009</v>
      </c>
      <c r="I7" s="24">
        <v>10</v>
      </c>
    </row>
    <row r="8" spans="1:13" x14ac:dyDescent="0.2">
      <c r="A8" s="24">
        <v>6</v>
      </c>
      <c r="B8" s="25">
        <v>14.6</v>
      </c>
      <c r="C8" s="26">
        <f t="shared" si="0"/>
        <v>167.3306</v>
      </c>
      <c r="E8" s="24">
        <v>16</v>
      </c>
      <c r="F8" s="25">
        <v>9.9</v>
      </c>
      <c r="G8" s="26">
        <f t="shared" si="1"/>
        <v>76.937850000000012</v>
      </c>
      <c r="I8" s="24">
        <v>16</v>
      </c>
    </row>
    <row r="9" spans="1:13" x14ac:dyDescent="0.2">
      <c r="A9" s="24">
        <v>10</v>
      </c>
      <c r="B9" s="25">
        <v>17</v>
      </c>
      <c r="C9" s="26">
        <f t="shared" si="0"/>
        <v>226.86500000000001</v>
      </c>
      <c r="E9" s="24">
        <v>25</v>
      </c>
      <c r="F9" s="25">
        <v>11.6</v>
      </c>
      <c r="G9" s="26">
        <f t="shared" si="1"/>
        <v>105.62960000000001</v>
      </c>
      <c r="I9" s="24">
        <v>25</v>
      </c>
    </row>
    <row r="10" spans="1:13" x14ac:dyDescent="0.2">
      <c r="A10" s="24">
        <v>16</v>
      </c>
      <c r="B10" s="25">
        <v>19.399999999999999</v>
      </c>
      <c r="C10" s="26">
        <f t="shared" si="0"/>
        <v>295.44259999999997</v>
      </c>
      <c r="E10" s="24">
        <v>35</v>
      </c>
      <c r="F10" s="25">
        <v>12.7</v>
      </c>
      <c r="G10" s="26">
        <f t="shared" si="1"/>
        <v>126.61265</v>
      </c>
      <c r="I10" s="24">
        <v>35</v>
      </c>
    </row>
    <row r="11" spans="1:13" x14ac:dyDescent="0.2">
      <c r="A11" s="24">
        <v>25</v>
      </c>
      <c r="B11" s="25">
        <v>23.5</v>
      </c>
      <c r="C11" s="26">
        <f t="shared" si="0"/>
        <v>433.51625000000001</v>
      </c>
      <c r="E11" s="24">
        <v>50</v>
      </c>
      <c r="F11" s="25">
        <v>14.6</v>
      </c>
      <c r="G11" s="26">
        <f t="shared" si="1"/>
        <v>167.3306</v>
      </c>
      <c r="I11" s="24">
        <v>50</v>
      </c>
    </row>
    <row r="12" spans="1:13" x14ac:dyDescent="0.2">
      <c r="A12" s="24">
        <v>35</v>
      </c>
      <c r="B12" s="25">
        <v>23.6</v>
      </c>
      <c r="C12" s="26">
        <f t="shared" si="0"/>
        <v>437.21360000000004</v>
      </c>
      <c r="E12" s="24">
        <v>70</v>
      </c>
      <c r="F12" s="25">
        <v>16.3</v>
      </c>
      <c r="G12" s="26">
        <f t="shared" si="1"/>
        <v>208.56665000000001</v>
      </c>
      <c r="I12" s="24">
        <v>70</v>
      </c>
    </row>
    <row r="13" spans="1:13" x14ac:dyDescent="0.2">
      <c r="A13" s="24">
        <v>50</v>
      </c>
      <c r="B13" s="25">
        <v>27.1</v>
      </c>
      <c r="C13" s="26">
        <f t="shared" si="0"/>
        <v>576.51185000000009</v>
      </c>
      <c r="E13" s="24">
        <v>95</v>
      </c>
      <c r="F13" s="25">
        <v>18.7</v>
      </c>
      <c r="G13" s="26">
        <f t="shared" si="1"/>
        <v>274.50665000000004</v>
      </c>
      <c r="I13" s="24">
        <v>95</v>
      </c>
    </row>
    <row r="14" spans="1:13" x14ac:dyDescent="0.2">
      <c r="A14" s="24">
        <v>70</v>
      </c>
      <c r="B14" s="25">
        <v>31.4</v>
      </c>
      <c r="C14" s="26">
        <f t="shared" si="0"/>
        <v>773.97859999999991</v>
      </c>
      <c r="E14" s="24">
        <v>120</v>
      </c>
      <c r="F14" s="25">
        <v>20.399999999999999</v>
      </c>
      <c r="G14" s="26">
        <f t="shared" si="1"/>
        <v>326.68559999999997</v>
      </c>
      <c r="I14" s="24">
        <v>120</v>
      </c>
    </row>
    <row r="15" spans="1:13" x14ac:dyDescent="0.2">
      <c r="A15" s="24">
        <v>95</v>
      </c>
      <c r="B15" s="25">
        <v>35.1</v>
      </c>
      <c r="C15" s="26">
        <f t="shared" si="0"/>
        <v>967.12785000000008</v>
      </c>
      <c r="E15" s="24">
        <v>150</v>
      </c>
      <c r="F15" s="25">
        <v>22.6</v>
      </c>
      <c r="G15" s="26">
        <f t="shared" si="1"/>
        <v>400.94660000000005</v>
      </c>
      <c r="I15" s="24">
        <v>150</v>
      </c>
    </row>
    <row r="16" spans="1:13" x14ac:dyDescent="0.2">
      <c r="A16" s="24">
        <v>120</v>
      </c>
      <c r="B16" s="25">
        <v>39.200000000000003</v>
      </c>
      <c r="C16" s="26">
        <f t="shared" si="0"/>
        <v>1206.2624000000003</v>
      </c>
      <c r="E16" s="24">
        <v>185</v>
      </c>
      <c r="F16" s="25">
        <v>24.9</v>
      </c>
      <c r="G16" s="26">
        <f t="shared" si="1"/>
        <v>486.70784999999995</v>
      </c>
      <c r="I16" s="24">
        <v>185</v>
      </c>
    </row>
    <row r="17" spans="1:9" x14ac:dyDescent="0.2">
      <c r="A17" s="24">
        <v>150</v>
      </c>
      <c r="B17" s="25">
        <v>43.7</v>
      </c>
      <c r="C17" s="26">
        <f t="shared" si="0"/>
        <v>1499.1066500000002</v>
      </c>
      <c r="E17" s="24">
        <v>240</v>
      </c>
      <c r="F17" s="25">
        <v>28.3</v>
      </c>
      <c r="G17" s="26">
        <f t="shared" si="1"/>
        <v>628.69865000000004</v>
      </c>
      <c r="I17" s="24">
        <v>240</v>
      </c>
    </row>
    <row r="18" spans="1:9" x14ac:dyDescent="0.2">
      <c r="A18" s="24">
        <v>185</v>
      </c>
      <c r="B18" s="25">
        <v>48.7</v>
      </c>
      <c r="C18" s="26">
        <f t="shared" si="0"/>
        <v>1861.77665</v>
      </c>
      <c r="E18" s="24">
        <v>300</v>
      </c>
      <c r="F18" s="25">
        <v>31.1</v>
      </c>
      <c r="G18" s="26">
        <f t="shared" si="1"/>
        <v>759.25985000000003</v>
      </c>
      <c r="I18" s="24">
        <v>300</v>
      </c>
    </row>
    <row r="19" spans="1:9" x14ac:dyDescent="0.2">
      <c r="A19" s="24">
        <v>240</v>
      </c>
      <c r="B19" s="25">
        <v>54.5</v>
      </c>
      <c r="C19" s="26">
        <f t="shared" si="0"/>
        <v>2331.6462500000002</v>
      </c>
      <c r="E19" s="24">
        <v>400</v>
      </c>
      <c r="F19" s="25">
        <v>35.299999999999997</v>
      </c>
      <c r="G19" s="26">
        <f t="shared" si="1"/>
        <v>978.18064999999979</v>
      </c>
      <c r="I19" s="24">
        <v>400</v>
      </c>
    </row>
    <row r="20" spans="1:9" x14ac:dyDescent="0.2">
      <c r="A20" s="24">
        <v>300</v>
      </c>
      <c r="B20" s="25">
        <v>60.1</v>
      </c>
      <c r="C20" s="26">
        <f t="shared" si="0"/>
        <v>2835.4278500000005</v>
      </c>
      <c r="E20" s="24">
        <v>500</v>
      </c>
      <c r="F20" s="25">
        <v>38.799999999999997</v>
      </c>
      <c r="G20" s="26">
        <f t="shared" si="1"/>
        <v>1181.7703999999999</v>
      </c>
      <c r="I20" s="24">
        <v>500</v>
      </c>
    </row>
    <row r="21" spans="1:9" x14ac:dyDescent="0.2">
      <c r="A21" s="24"/>
      <c r="B21" s="25"/>
      <c r="C21" s="24"/>
      <c r="E21" s="24">
        <v>630</v>
      </c>
      <c r="F21" s="25">
        <v>42.7</v>
      </c>
      <c r="G21" s="26">
        <f t="shared" si="1"/>
        <v>1431.2826500000001</v>
      </c>
      <c r="I21" s="24">
        <v>630</v>
      </c>
    </row>
    <row r="22" spans="1:9" ht="20.100000000000001" customHeight="1" x14ac:dyDescent="0.2">
      <c r="A22" s="34" t="s">
        <v>2</v>
      </c>
      <c r="B22" s="34"/>
      <c r="C22" s="34"/>
      <c r="E22" s="24">
        <v>800</v>
      </c>
      <c r="F22" s="25">
        <v>47.2</v>
      </c>
      <c r="G22" s="26">
        <f t="shared" si="1"/>
        <v>1748.8544000000002</v>
      </c>
      <c r="I22" s="24">
        <v>800</v>
      </c>
    </row>
    <row r="23" spans="1:9" ht="20.100000000000001" customHeight="1" x14ac:dyDescent="0.2">
      <c r="A23" s="34"/>
      <c r="B23" s="34"/>
      <c r="C23" s="34"/>
      <c r="E23" s="24">
        <v>1000</v>
      </c>
      <c r="F23" s="25">
        <v>52</v>
      </c>
      <c r="G23" s="26">
        <f t="shared" si="1"/>
        <v>2122.64</v>
      </c>
      <c r="I23" s="24">
        <v>1000</v>
      </c>
    </row>
    <row r="24" spans="1:9" x14ac:dyDescent="0.2">
      <c r="A24" s="24">
        <v>35</v>
      </c>
      <c r="B24" s="25">
        <v>22.5</v>
      </c>
      <c r="C24" s="26">
        <f t="shared" ref="C24:C32" si="2">3.14*(B24*B24/4)</f>
        <v>397.40625</v>
      </c>
      <c r="E24" s="24"/>
      <c r="F24" s="25"/>
      <c r="G24" s="25"/>
    </row>
    <row r="25" spans="1:9" x14ac:dyDescent="0.2">
      <c r="A25" s="24">
        <v>50</v>
      </c>
      <c r="B25" s="25">
        <v>25.9</v>
      </c>
      <c r="C25" s="26">
        <f t="shared" si="2"/>
        <v>526.58584999999994</v>
      </c>
    </row>
    <row r="26" spans="1:9" x14ac:dyDescent="0.2">
      <c r="A26" s="24">
        <v>70</v>
      </c>
      <c r="B26" s="25">
        <v>29.7</v>
      </c>
      <c r="C26" s="26">
        <f t="shared" si="2"/>
        <v>692.44065000000001</v>
      </c>
    </row>
    <row r="27" spans="1:9" x14ac:dyDescent="0.2">
      <c r="A27" s="24">
        <v>95</v>
      </c>
      <c r="B27" s="25">
        <v>33.6</v>
      </c>
      <c r="C27" s="26">
        <f t="shared" si="2"/>
        <v>886.23360000000002</v>
      </c>
    </row>
    <row r="28" spans="1:9" x14ac:dyDescent="0.2">
      <c r="A28" s="24">
        <v>120</v>
      </c>
      <c r="B28" s="25">
        <v>37.5</v>
      </c>
      <c r="C28" s="26">
        <f t="shared" si="2"/>
        <v>1103.90625</v>
      </c>
    </row>
    <row r="29" spans="1:9" x14ac:dyDescent="0.2">
      <c r="A29" s="24">
        <v>150</v>
      </c>
      <c r="B29" s="25">
        <v>41.3</v>
      </c>
      <c r="C29" s="26">
        <f t="shared" si="2"/>
        <v>1338.9666499999998</v>
      </c>
    </row>
    <row r="30" spans="1:9" x14ac:dyDescent="0.2">
      <c r="A30" s="24">
        <v>185</v>
      </c>
      <c r="B30" s="25">
        <v>46.2</v>
      </c>
      <c r="C30" s="26">
        <f t="shared" si="2"/>
        <v>1675.5354000000002</v>
      </c>
    </row>
    <row r="31" spans="1:9" x14ac:dyDescent="0.2">
      <c r="A31" s="24">
        <v>240</v>
      </c>
      <c r="B31" s="25">
        <v>51.5</v>
      </c>
      <c r="C31" s="26">
        <f t="shared" si="2"/>
        <v>2082.0162500000001</v>
      </c>
    </row>
    <row r="32" spans="1:9" x14ac:dyDescent="0.2">
      <c r="A32" s="24">
        <v>300</v>
      </c>
      <c r="B32" s="25">
        <v>56.8</v>
      </c>
      <c r="C32" s="26">
        <f t="shared" si="2"/>
        <v>2532.5983999999999</v>
      </c>
    </row>
    <row r="33" spans="1:22" x14ac:dyDescent="0.2">
      <c r="A33" s="24"/>
      <c r="B33" s="25"/>
      <c r="C33" s="25"/>
    </row>
    <row r="34" spans="1:22" x14ac:dyDescent="0.2">
      <c r="B34" s="27" t="s">
        <v>11</v>
      </c>
    </row>
    <row r="35" spans="1:22" x14ac:dyDescent="0.2">
      <c r="B35" s="35" t="s">
        <v>12</v>
      </c>
      <c r="C35" s="35"/>
      <c r="D35" s="35"/>
      <c r="E35" s="35"/>
      <c r="F35" s="35"/>
      <c r="G35" s="35"/>
      <c r="H35" s="35"/>
      <c r="I35" s="35"/>
      <c r="J35" s="35"/>
    </row>
    <row r="36" spans="1:22" x14ac:dyDescent="0.2">
      <c r="B36" s="35"/>
      <c r="C36" s="35"/>
      <c r="D36" s="35"/>
      <c r="E36" s="35"/>
      <c r="F36" s="35"/>
      <c r="G36" s="35"/>
      <c r="H36" s="35"/>
      <c r="I36" s="35"/>
      <c r="J36" s="35"/>
    </row>
    <row r="37" spans="1:22" x14ac:dyDescent="0.2">
      <c r="B37" s="27" t="s">
        <v>23</v>
      </c>
      <c r="C37" s="36" t="s">
        <v>22</v>
      </c>
      <c r="D37" s="36"/>
      <c r="E37" s="36" t="s">
        <v>13</v>
      </c>
      <c r="F37" s="36"/>
      <c r="G37" s="36" t="s">
        <v>14</v>
      </c>
      <c r="H37" s="36"/>
      <c r="I37" s="36" t="s">
        <v>15</v>
      </c>
      <c r="J37" s="36"/>
      <c r="K37" s="36" t="s">
        <v>16</v>
      </c>
      <c r="L37" s="36"/>
      <c r="M37" s="36" t="s">
        <v>17</v>
      </c>
      <c r="N37" s="36"/>
      <c r="O37" s="36" t="s">
        <v>18</v>
      </c>
      <c r="P37" s="36"/>
      <c r="Q37" s="36" t="s">
        <v>19</v>
      </c>
      <c r="R37" s="36"/>
      <c r="S37" s="36" t="s">
        <v>20</v>
      </c>
      <c r="T37" s="36"/>
      <c r="U37" s="35" t="s">
        <v>21</v>
      </c>
      <c r="V37" s="35"/>
    </row>
    <row r="38" spans="1:22" x14ac:dyDescent="0.2">
      <c r="B38" s="27">
        <v>50</v>
      </c>
      <c r="C38" s="22">
        <v>1500</v>
      </c>
      <c r="D38" s="22">
        <f>(C38-30*'Cable TRAY VER.1.1'!$I$35)</f>
        <v>-287040</v>
      </c>
      <c r="E38" s="22">
        <f>C38*2</f>
        <v>3000</v>
      </c>
      <c r="F38" s="22">
        <f>(E38-30*'Cable TRAY VER.1.1'!$I$35)</f>
        <v>-285540</v>
      </c>
      <c r="G38" s="22">
        <f t="shared" ref="G38:G48" si="3">C38*3</f>
        <v>4500</v>
      </c>
      <c r="H38" s="22">
        <f>(G38-30*'Cable TRAY VER.1.1'!$I$35)</f>
        <v>-284040</v>
      </c>
      <c r="I38" s="22">
        <f t="shared" ref="I38:I48" si="4">C38*4</f>
        <v>6000</v>
      </c>
      <c r="J38" s="22">
        <f>(I38-30*'Cable TRAY VER.1.1'!$I$35)</f>
        <v>-282540</v>
      </c>
      <c r="K38" s="22">
        <f t="shared" ref="K38:K48" si="5">C38*5</f>
        <v>7500</v>
      </c>
      <c r="L38" s="22">
        <f>(K38-30*'Cable TRAY VER.1.1'!$I$35)</f>
        <v>-281040</v>
      </c>
      <c r="M38" s="22">
        <f t="shared" ref="M38:M48" si="6">C38*6</f>
        <v>9000</v>
      </c>
      <c r="N38" s="22">
        <f>(M38-30*'Cable TRAY VER.1.1'!$I$35)</f>
        <v>-279540</v>
      </c>
      <c r="O38" s="22">
        <f t="shared" ref="O38:O48" si="7">C38*7</f>
        <v>10500</v>
      </c>
      <c r="P38" s="22">
        <f>(O38-30*'Cable TRAY VER.1.1'!$I$35)</f>
        <v>-278040</v>
      </c>
      <c r="Q38" s="22">
        <f t="shared" ref="Q38:Q48" si="8">C38*8</f>
        <v>12000</v>
      </c>
      <c r="R38" s="22">
        <f>(Q38-30*'Cable TRAY VER.1.1'!$I$35)</f>
        <v>-276540</v>
      </c>
      <c r="S38" s="22">
        <f t="shared" ref="S38:S48" si="9">C38*9</f>
        <v>13500</v>
      </c>
      <c r="T38" s="22">
        <f>(S38-30*'Cable TRAY VER.1.1'!$I$35)</f>
        <v>-275040</v>
      </c>
      <c r="U38" s="22">
        <f t="shared" ref="U38:U48" si="10">C38*10</f>
        <v>15000</v>
      </c>
      <c r="V38" s="22">
        <f>(U38-30*'Cable TRAY VER.1.1'!$I$35)</f>
        <v>-273540</v>
      </c>
    </row>
    <row r="39" spans="1:22" x14ac:dyDescent="0.2">
      <c r="B39" s="27">
        <v>100</v>
      </c>
      <c r="C39" s="22">
        <v>3000</v>
      </c>
      <c r="D39" s="22">
        <f>(C39-30*'Cable TRAY VER.1.1'!$I$35)</f>
        <v>-285540</v>
      </c>
      <c r="E39" s="22">
        <f t="shared" ref="E39:E49" si="11">C39*2</f>
        <v>6000</v>
      </c>
      <c r="F39" s="22">
        <f>(E39-30*'Cable TRAY VER.1.1'!$I$35)</f>
        <v>-282540</v>
      </c>
      <c r="G39" s="22">
        <f t="shared" si="3"/>
        <v>9000</v>
      </c>
      <c r="H39" s="22">
        <f>(G39-30*'Cable TRAY VER.1.1'!$I$35)</f>
        <v>-279540</v>
      </c>
      <c r="I39" s="22">
        <f t="shared" si="4"/>
        <v>12000</v>
      </c>
      <c r="J39" s="22">
        <f>(I39-30*'Cable TRAY VER.1.1'!$I$35)</f>
        <v>-276540</v>
      </c>
      <c r="K39" s="22">
        <f t="shared" si="5"/>
        <v>15000</v>
      </c>
      <c r="L39" s="22">
        <f>(K39-30*'Cable TRAY VER.1.1'!$I$35)</f>
        <v>-273540</v>
      </c>
      <c r="M39" s="22">
        <f t="shared" si="6"/>
        <v>18000</v>
      </c>
      <c r="N39" s="22">
        <f>(M39-30*'Cable TRAY VER.1.1'!$I$35)</f>
        <v>-270540</v>
      </c>
      <c r="O39" s="22">
        <f t="shared" si="7"/>
        <v>21000</v>
      </c>
      <c r="P39" s="22">
        <f>(O39-30*'Cable TRAY VER.1.1'!$I$35)</f>
        <v>-267540</v>
      </c>
      <c r="Q39" s="22">
        <f t="shared" si="8"/>
        <v>24000</v>
      </c>
      <c r="R39" s="22">
        <f>(Q39-30*'Cable TRAY VER.1.1'!$I$35)</f>
        <v>-264540</v>
      </c>
      <c r="S39" s="22">
        <f t="shared" si="9"/>
        <v>27000</v>
      </c>
      <c r="T39" s="22">
        <f>(S39-30*'Cable TRAY VER.1.1'!$I$35)</f>
        <v>-261540</v>
      </c>
      <c r="U39" s="22">
        <f t="shared" si="10"/>
        <v>30000</v>
      </c>
      <c r="V39" s="22">
        <f>(U39-30*'Cable TRAY VER.1.1'!$I$35)</f>
        <v>-258540</v>
      </c>
    </row>
    <row r="40" spans="1:22" x14ac:dyDescent="0.2">
      <c r="B40" s="27">
        <v>150</v>
      </c>
      <c r="C40" s="22">
        <v>4500</v>
      </c>
      <c r="D40" s="22">
        <f>(C40-30*'Cable TRAY VER.1.1'!$I$35)</f>
        <v>-284040</v>
      </c>
      <c r="E40" s="22">
        <f t="shared" si="11"/>
        <v>9000</v>
      </c>
      <c r="F40" s="22">
        <f>(E40-30*'Cable TRAY VER.1.1'!$I$35)</f>
        <v>-279540</v>
      </c>
      <c r="G40" s="22">
        <f t="shared" si="3"/>
        <v>13500</v>
      </c>
      <c r="H40" s="22">
        <f>(G40-30*'Cable TRAY VER.1.1'!$I$35)</f>
        <v>-275040</v>
      </c>
      <c r="I40" s="22">
        <f t="shared" si="4"/>
        <v>18000</v>
      </c>
      <c r="J40" s="22">
        <f>(I40-30*'Cable TRAY VER.1.1'!$I$35)</f>
        <v>-270540</v>
      </c>
      <c r="K40" s="22">
        <f t="shared" si="5"/>
        <v>22500</v>
      </c>
      <c r="L40" s="22">
        <f>(K40-30*'Cable TRAY VER.1.1'!$I$35)</f>
        <v>-266040</v>
      </c>
      <c r="M40" s="22">
        <f t="shared" si="6"/>
        <v>27000</v>
      </c>
      <c r="N40" s="22">
        <f>(M40-30*'Cable TRAY VER.1.1'!$I$35)</f>
        <v>-261540</v>
      </c>
      <c r="O40" s="22">
        <f t="shared" si="7"/>
        <v>31500</v>
      </c>
      <c r="P40" s="22">
        <f>(O40-30*'Cable TRAY VER.1.1'!$I$35)</f>
        <v>-257040</v>
      </c>
      <c r="Q40" s="22">
        <f t="shared" si="8"/>
        <v>36000</v>
      </c>
      <c r="R40" s="22">
        <f>(Q40-30*'Cable TRAY VER.1.1'!$I$35)</f>
        <v>-252540</v>
      </c>
      <c r="S40" s="22">
        <f t="shared" si="9"/>
        <v>40500</v>
      </c>
      <c r="T40" s="22">
        <f>(S40-30*'Cable TRAY VER.1.1'!$I$35)</f>
        <v>-248040</v>
      </c>
      <c r="U40" s="22">
        <f t="shared" si="10"/>
        <v>45000</v>
      </c>
      <c r="V40" s="22">
        <f>(U40-30*'Cable TRAY VER.1.1'!$I$35)</f>
        <v>-243540</v>
      </c>
    </row>
    <row r="41" spans="1:22" x14ac:dyDescent="0.2">
      <c r="B41" s="27">
        <v>200</v>
      </c>
      <c r="C41" s="22">
        <v>6000</v>
      </c>
      <c r="D41" s="22">
        <f>(C41-30*'Cable TRAY VER.1.1'!$I$35)</f>
        <v>-282540</v>
      </c>
      <c r="E41" s="22">
        <f t="shared" si="11"/>
        <v>12000</v>
      </c>
      <c r="F41" s="22">
        <f>(E41-30*'Cable TRAY VER.1.1'!$I$35)</f>
        <v>-276540</v>
      </c>
      <c r="G41" s="22">
        <f t="shared" si="3"/>
        <v>18000</v>
      </c>
      <c r="H41" s="22">
        <f>(G41-30*'Cable TRAY VER.1.1'!$I$35)</f>
        <v>-270540</v>
      </c>
      <c r="I41" s="22">
        <f t="shared" si="4"/>
        <v>24000</v>
      </c>
      <c r="J41" s="22">
        <f>(I41-30*'Cable TRAY VER.1.1'!$I$35)</f>
        <v>-264540</v>
      </c>
      <c r="K41" s="22">
        <f t="shared" si="5"/>
        <v>30000</v>
      </c>
      <c r="L41" s="22">
        <f>(K41-30*'Cable TRAY VER.1.1'!$I$35)</f>
        <v>-258540</v>
      </c>
      <c r="M41" s="22">
        <f t="shared" si="6"/>
        <v>36000</v>
      </c>
      <c r="N41" s="22">
        <f>(M41-30*'Cable TRAY VER.1.1'!$I$35)</f>
        <v>-252540</v>
      </c>
      <c r="O41" s="22">
        <f t="shared" si="7"/>
        <v>42000</v>
      </c>
      <c r="P41" s="22">
        <f>(O41-30*'Cable TRAY VER.1.1'!$I$35)</f>
        <v>-246540</v>
      </c>
      <c r="Q41" s="22">
        <f t="shared" si="8"/>
        <v>48000</v>
      </c>
      <c r="R41" s="22">
        <f>(Q41-30*'Cable TRAY VER.1.1'!$I$35)</f>
        <v>-240540</v>
      </c>
      <c r="S41" s="22">
        <f t="shared" si="9"/>
        <v>54000</v>
      </c>
      <c r="T41" s="22">
        <f>(S41-30*'Cable TRAY VER.1.1'!$I$35)</f>
        <v>-234540</v>
      </c>
      <c r="U41" s="22">
        <f t="shared" si="10"/>
        <v>60000</v>
      </c>
      <c r="V41" s="22">
        <f>(U41-30*'Cable TRAY VER.1.1'!$I$35)</f>
        <v>-228540</v>
      </c>
    </row>
    <row r="42" spans="1:22" x14ac:dyDescent="0.2">
      <c r="B42" s="27">
        <v>225</v>
      </c>
      <c r="C42" s="22">
        <v>6800</v>
      </c>
      <c r="D42" s="22">
        <f>(C42-30*'Cable TRAY VER.1.1'!$I$35)</f>
        <v>-281740</v>
      </c>
      <c r="E42" s="22">
        <f t="shared" si="11"/>
        <v>13600</v>
      </c>
      <c r="F42" s="22">
        <f>(E42-30*'Cable TRAY VER.1.1'!$I$35)</f>
        <v>-274940</v>
      </c>
      <c r="G42" s="22">
        <f t="shared" si="3"/>
        <v>20400</v>
      </c>
      <c r="H42" s="22">
        <f>(G42-30*'Cable TRAY VER.1.1'!$I$35)</f>
        <v>-268140</v>
      </c>
      <c r="I42" s="22">
        <f t="shared" si="4"/>
        <v>27200</v>
      </c>
      <c r="J42" s="22">
        <f>(I42-30*'Cable TRAY VER.1.1'!$I$35)</f>
        <v>-261340</v>
      </c>
      <c r="K42" s="22">
        <f t="shared" si="5"/>
        <v>34000</v>
      </c>
      <c r="L42" s="22">
        <f>(K42-30*'Cable TRAY VER.1.1'!$I$35)</f>
        <v>-254540</v>
      </c>
      <c r="M42" s="22">
        <f t="shared" si="6"/>
        <v>40800</v>
      </c>
      <c r="N42" s="22">
        <f>(M42-30*'Cable TRAY VER.1.1'!$I$35)</f>
        <v>-247740</v>
      </c>
      <c r="O42" s="22">
        <f t="shared" si="7"/>
        <v>47600</v>
      </c>
      <c r="P42" s="22">
        <f>(O42-30*'Cable TRAY VER.1.1'!$I$35)</f>
        <v>-240940</v>
      </c>
      <c r="Q42" s="22">
        <f t="shared" si="8"/>
        <v>54400</v>
      </c>
      <c r="R42" s="22">
        <f>(Q42-30*'Cable TRAY VER.1.1'!$I$35)</f>
        <v>-234140</v>
      </c>
      <c r="S42" s="22">
        <f t="shared" si="9"/>
        <v>61200</v>
      </c>
      <c r="T42" s="22">
        <f>(S42-30*'Cable TRAY VER.1.1'!$I$35)</f>
        <v>-227340</v>
      </c>
      <c r="U42" s="22">
        <f t="shared" si="10"/>
        <v>68000</v>
      </c>
      <c r="V42" s="22">
        <f>(U42-30*'Cable TRAY VER.1.1'!$I$35)</f>
        <v>-220540</v>
      </c>
    </row>
    <row r="43" spans="1:22" x14ac:dyDescent="0.2">
      <c r="B43" s="27">
        <v>300</v>
      </c>
      <c r="C43" s="22">
        <v>9000</v>
      </c>
      <c r="D43" s="22">
        <f>(C43-30*'Cable TRAY VER.1.1'!$I$35)</f>
        <v>-279540</v>
      </c>
      <c r="E43" s="22">
        <f t="shared" si="11"/>
        <v>18000</v>
      </c>
      <c r="F43" s="22">
        <f>(E43-30*'Cable TRAY VER.1.1'!$I$35)</f>
        <v>-270540</v>
      </c>
      <c r="G43" s="22">
        <f t="shared" si="3"/>
        <v>27000</v>
      </c>
      <c r="H43" s="22">
        <f>(G43-30*'Cable TRAY VER.1.1'!$I$35)</f>
        <v>-261540</v>
      </c>
      <c r="I43" s="22">
        <f t="shared" si="4"/>
        <v>36000</v>
      </c>
      <c r="J43" s="22">
        <f>(I43-30*'Cable TRAY VER.1.1'!$I$35)</f>
        <v>-252540</v>
      </c>
      <c r="K43" s="22">
        <f t="shared" si="5"/>
        <v>45000</v>
      </c>
      <c r="L43" s="22">
        <f>(K43-30*'Cable TRAY VER.1.1'!$I$35)</f>
        <v>-243540</v>
      </c>
      <c r="M43" s="22">
        <f t="shared" si="6"/>
        <v>54000</v>
      </c>
      <c r="N43" s="22">
        <f>(M43-30*'Cable TRAY VER.1.1'!$I$35)</f>
        <v>-234540</v>
      </c>
      <c r="O43" s="22">
        <f t="shared" si="7"/>
        <v>63000</v>
      </c>
      <c r="P43" s="22">
        <f>(O43-30*'Cable TRAY VER.1.1'!$I$35)</f>
        <v>-225540</v>
      </c>
      <c r="Q43" s="22">
        <f t="shared" si="8"/>
        <v>72000</v>
      </c>
      <c r="R43" s="22">
        <f>(Q43-30*'Cable TRAY VER.1.1'!$I$35)</f>
        <v>-216540</v>
      </c>
      <c r="S43" s="22">
        <f t="shared" si="9"/>
        <v>81000</v>
      </c>
      <c r="T43" s="22">
        <f>(S43-30*'Cable TRAY VER.1.1'!$I$35)</f>
        <v>-207540</v>
      </c>
      <c r="U43" s="22">
        <f t="shared" si="10"/>
        <v>90000</v>
      </c>
      <c r="V43" s="22">
        <f>(U43-30*'Cable TRAY VER.1.1'!$I$35)</f>
        <v>-198540</v>
      </c>
    </row>
    <row r="44" spans="1:22" x14ac:dyDescent="0.2">
      <c r="B44" s="27">
        <v>400</v>
      </c>
      <c r="C44" s="22">
        <v>12000</v>
      </c>
      <c r="D44" s="22">
        <f>(C44-30*'Cable TRAY VER.1.1'!$I$35)</f>
        <v>-276540</v>
      </c>
      <c r="E44" s="22">
        <f t="shared" si="11"/>
        <v>24000</v>
      </c>
      <c r="F44" s="22">
        <f>(E44-30*'Cable TRAY VER.1.1'!$I$35)</f>
        <v>-264540</v>
      </c>
      <c r="G44" s="22">
        <f t="shared" si="3"/>
        <v>36000</v>
      </c>
      <c r="H44" s="22">
        <f>(G44-30*'Cable TRAY VER.1.1'!$I$35)</f>
        <v>-252540</v>
      </c>
      <c r="I44" s="22">
        <f t="shared" si="4"/>
        <v>48000</v>
      </c>
      <c r="J44" s="22">
        <f>(I44-30*'Cable TRAY VER.1.1'!$I$35)</f>
        <v>-240540</v>
      </c>
      <c r="K44" s="22">
        <f t="shared" si="5"/>
        <v>60000</v>
      </c>
      <c r="L44" s="22">
        <f>(K44-30*'Cable TRAY VER.1.1'!$I$35)</f>
        <v>-228540</v>
      </c>
      <c r="M44" s="22">
        <f t="shared" si="6"/>
        <v>72000</v>
      </c>
      <c r="N44" s="22">
        <f>(M44-30*'Cable TRAY VER.1.1'!$I$35)</f>
        <v>-216540</v>
      </c>
      <c r="O44" s="22">
        <f t="shared" si="7"/>
        <v>84000</v>
      </c>
      <c r="P44" s="22">
        <f>(O44-30*'Cable TRAY VER.1.1'!$I$35)</f>
        <v>-204540</v>
      </c>
      <c r="Q44" s="22">
        <f t="shared" si="8"/>
        <v>96000</v>
      </c>
      <c r="R44" s="22">
        <f>(Q44-30*'Cable TRAY VER.1.1'!$I$35)</f>
        <v>-192540</v>
      </c>
      <c r="S44" s="22">
        <f t="shared" si="9"/>
        <v>108000</v>
      </c>
      <c r="T44" s="22">
        <f>(S44-30*'Cable TRAY VER.1.1'!$I$35)</f>
        <v>-180540</v>
      </c>
      <c r="U44" s="22">
        <f t="shared" si="10"/>
        <v>120000</v>
      </c>
      <c r="V44" s="22">
        <f>(U44-30*'Cable TRAY VER.1.1'!$I$35)</f>
        <v>-168540</v>
      </c>
    </row>
    <row r="45" spans="1:22" x14ac:dyDescent="0.2">
      <c r="B45" s="27">
        <v>450</v>
      </c>
      <c r="C45" s="22">
        <v>13500</v>
      </c>
      <c r="D45" s="22">
        <f>(C45-30*'Cable TRAY VER.1.1'!$I$35)</f>
        <v>-275040</v>
      </c>
      <c r="E45" s="22">
        <f t="shared" si="11"/>
        <v>27000</v>
      </c>
      <c r="F45" s="22">
        <f>(E45-30*'Cable TRAY VER.1.1'!$I$35)</f>
        <v>-261540</v>
      </c>
      <c r="G45" s="22">
        <f t="shared" si="3"/>
        <v>40500</v>
      </c>
      <c r="H45" s="22">
        <f>(G45-30*'Cable TRAY VER.1.1'!$I$35)</f>
        <v>-248040</v>
      </c>
      <c r="I45" s="22">
        <f t="shared" si="4"/>
        <v>54000</v>
      </c>
      <c r="J45" s="22">
        <f>(I45-30*'Cable TRAY VER.1.1'!$I$35)</f>
        <v>-234540</v>
      </c>
      <c r="K45" s="22">
        <f t="shared" si="5"/>
        <v>67500</v>
      </c>
      <c r="L45" s="22">
        <f>(K45-30*'Cable TRAY VER.1.1'!$I$35)</f>
        <v>-221040</v>
      </c>
      <c r="M45" s="22">
        <f t="shared" si="6"/>
        <v>81000</v>
      </c>
      <c r="N45" s="22">
        <f>(M45-30*'Cable TRAY VER.1.1'!$I$35)</f>
        <v>-207540</v>
      </c>
      <c r="O45" s="22">
        <f t="shared" si="7"/>
        <v>94500</v>
      </c>
      <c r="P45" s="22">
        <f>(O45-30*'Cable TRAY VER.1.1'!$I$35)</f>
        <v>-194040</v>
      </c>
      <c r="Q45" s="22">
        <f t="shared" si="8"/>
        <v>108000</v>
      </c>
      <c r="R45" s="22">
        <f>(Q45-30*'Cable TRAY VER.1.1'!$I$35)</f>
        <v>-180540</v>
      </c>
      <c r="S45" s="22">
        <f t="shared" si="9"/>
        <v>121500</v>
      </c>
      <c r="T45" s="22">
        <f>(S45-30*'Cable TRAY VER.1.1'!$I$35)</f>
        <v>-167040</v>
      </c>
      <c r="U45" s="22">
        <f t="shared" si="10"/>
        <v>135000</v>
      </c>
      <c r="V45" s="22">
        <f>(U45-30*'Cable TRAY VER.1.1'!$I$35)</f>
        <v>-153540</v>
      </c>
    </row>
    <row r="46" spans="1:22" x14ac:dyDescent="0.2">
      <c r="B46" s="27">
        <v>500</v>
      </c>
      <c r="C46" s="22">
        <v>15000</v>
      </c>
      <c r="D46" s="22">
        <f>(C46-30*'Cable TRAY VER.1.1'!$I$35)</f>
        <v>-273540</v>
      </c>
      <c r="E46" s="22">
        <f t="shared" si="11"/>
        <v>30000</v>
      </c>
      <c r="F46" s="22">
        <f>(E46-30*'Cable TRAY VER.1.1'!$I$35)</f>
        <v>-258540</v>
      </c>
      <c r="G46" s="22">
        <f t="shared" si="3"/>
        <v>45000</v>
      </c>
      <c r="H46" s="22">
        <f>(G46-30*'Cable TRAY VER.1.1'!$I$35)</f>
        <v>-243540</v>
      </c>
      <c r="I46" s="22">
        <f t="shared" si="4"/>
        <v>60000</v>
      </c>
      <c r="J46" s="22">
        <f>(I46-30*'Cable TRAY VER.1.1'!$I$35)</f>
        <v>-228540</v>
      </c>
      <c r="K46" s="22">
        <f t="shared" si="5"/>
        <v>75000</v>
      </c>
      <c r="L46" s="22">
        <f>(K46-30*'Cable TRAY VER.1.1'!$I$35)</f>
        <v>-213540</v>
      </c>
      <c r="M46" s="22">
        <f t="shared" si="6"/>
        <v>90000</v>
      </c>
      <c r="N46" s="22">
        <f>(M46-30*'Cable TRAY VER.1.1'!$I$35)</f>
        <v>-198540</v>
      </c>
      <c r="O46" s="22">
        <f t="shared" si="7"/>
        <v>105000</v>
      </c>
      <c r="P46" s="22">
        <f>(O46-30*'Cable TRAY VER.1.1'!$I$35)</f>
        <v>-183540</v>
      </c>
      <c r="Q46" s="22">
        <f t="shared" si="8"/>
        <v>120000</v>
      </c>
      <c r="R46" s="22">
        <f>(Q46-30*'Cable TRAY VER.1.1'!$I$35)</f>
        <v>-168540</v>
      </c>
      <c r="S46" s="22">
        <f t="shared" si="9"/>
        <v>135000</v>
      </c>
      <c r="T46" s="22">
        <f>(S46-30*'Cable TRAY VER.1.1'!$I$35)</f>
        <v>-153540</v>
      </c>
      <c r="U46" s="22">
        <f t="shared" si="10"/>
        <v>150000</v>
      </c>
      <c r="V46" s="22">
        <f>(U46-30*'Cable TRAY VER.1.1'!$I$35)</f>
        <v>-138540</v>
      </c>
    </row>
    <row r="47" spans="1:22" x14ac:dyDescent="0.2">
      <c r="B47" s="27">
        <v>600</v>
      </c>
      <c r="C47" s="22">
        <v>18000</v>
      </c>
      <c r="D47" s="22">
        <f>(C47-30*'Cable TRAY VER.1.1'!$I$35)</f>
        <v>-270540</v>
      </c>
      <c r="E47" s="22">
        <f t="shared" si="11"/>
        <v>36000</v>
      </c>
      <c r="F47" s="22">
        <f>(E47-30*'Cable TRAY VER.1.1'!$I$35)</f>
        <v>-252540</v>
      </c>
      <c r="G47" s="22">
        <f t="shared" si="3"/>
        <v>54000</v>
      </c>
      <c r="H47" s="22">
        <f>(G47-30*'Cable TRAY VER.1.1'!$I$35)</f>
        <v>-234540</v>
      </c>
      <c r="I47" s="22">
        <f t="shared" si="4"/>
        <v>72000</v>
      </c>
      <c r="J47" s="22">
        <f>(I47-30*'Cable TRAY VER.1.1'!$I$35)</f>
        <v>-216540</v>
      </c>
      <c r="K47" s="22">
        <f t="shared" si="5"/>
        <v>90000</v>
      </c>
      <c r="L47" s="22">
        <f>(K47-30*'Cable TRAY VER.1.1'!$I$35)</f>
        <v>-198540</v>
      </c>
      <c r="M47" s="22">
        <f t="shared" si="6"/>
        <v>108000</v>
      </c>
      <c r="N47" s="22">
        <f>(M47-30*'Cable TRAY VER.1.1'!$I$35)</f>
        <v>-180540</v>
      </c>
      <c r="O47" s="22">
        <f t="shared" si="7"/>
        <v>126000</v>
      </c>
      <c r="P47" s="22">
        <f>(O47-30*'Cable TRAY VER.1.1'!$I$35)</f>
        <v>-162540</v>
      </c>
      <c r="Q47" s="22">
        <f t="shared" si="8"/>
        <v>144000</v>
      </c>
      <c r="R47" s="22">
        <f>(Q47-30*'Cable TRAY VER.1.1'!$I$35)</f>
        <v>-144540</v>
      </c>
      <c r="S47" s="22">
        <f t="shared" si="9"/>
        <v>162000</v>
      </c>
      <c r="T47" s="22">
        <f>(S47-30*'Cable TRAY VER.1.1'!$I$35)</f>
        <v>-126540</v>
      </c>
      <c r="U47" s="22">
        <f t="shared" si="10"/>
        <v>180000</v>
      </c>
      <c r="V47" s="22">
        <f>(U47-30*'Cable TRAY VER.1.1'!$I$35)</f>
        <v>-108540</v>
      </c>
    </row>
    <row r="48" spans="1:22" x14ac:dyDescent="0.2">
      <c r="B48" s="27">
        <v>750</v>
      </c>
      <c r="C48" s="22">
        <v>22500</v>
      </c>
      <c r="D48" s="22">
        <f>(C48-30*'Cable TRAY VER.1.1'!$I$35)</f>
        <v>-266040</v>
      </c>
      <c r="E48" s="22">
        <f t="shared" si="11"/>
        <v>45000</v>
      </c>
      <c r="F48" s="22">
        <f>(E48-30*'Cable TRAY VER.1.1'!$I$35)</f>
        <v>-243540</v>
      </c>
      <c r="G48" s="22">
        <f t="shared" si="3"/>
        <v>67500</v>
      </c>
      <c r="H48" s="22">
        <f>(G48-30*'Cable TRAY VER.1.1'!$I$35)</f>
        <v>-221040</v>
      </c>
      <c r="I48" s="22">
        <f t="shared" si="4"/>
        <v>90000</v>
      </c>
      <c r="J48" s="22">
        <f>(I48-30*'Cable TRAY VER.1.1'!$I$35)</f>
        <v>-198540</v>
      </c>
      <c r="K48" s="22">
        <f t="shared" si="5"/>
        <v>112500</v>
      </c>
      <c r="L48" s="22">
        <f>(K48-30*'Cable TRAY VER.1.1'!$I$35)</f>
        <v>-176040</v>
      </c>
      <c r="M48" s="22">
        <f t="shared" si="6"/>
        <v>135000</v>
      </c>
      <c r="N48" s="22">
        <f>(M48-30*'Cable TRAY VER.1.1'!$I$35)</f>
        <v>-153540</v>
      </c>
      <c r="O48" s="22">
        <f t="shared" si="7"/>
        <v>157500</v>
      </c>
      <c r="P48" s="22">
        <f>(O48-30*'Cable TRAY VER.1.1'!$I$35)</f>
        <v>-131040</v>
      </c>
      <c r="Q48" s="22">
        <f t="shared" si="8"/>
        <v>180000</v>
      </c>
      <c r="R48" s="22">
        <f>(Q48-30*'Cable TRAY VER.1.1'!$I$35)</f>
        <v>-108540</v>
      </c>
      <c r="S48" s="22">
        <f t="shared" si="9"/>
        <v>202500</v>
      </c>
      <c r="T48" s="22">
        <f>(S48-30*'Cable TRAY VER.1.1'!$I$35)</f>
        <v>-86040</v>
      </c>
      <c r="U48" s="22">
        <f t="shared" si="10"/>
        <v>225000</v>
      </c>
      <c r="V48" s="22">
        <f>(U48-30*'Cable TRAY VER.1.1'!$I$35)</f>
        <v>-63540</v>
      </c>
    </row>
    <row r="49" spans="2:22" x14ac:dyDescent="0.2">
      <c r="B49" s="27">
        <v>900</v>
      </c>
      <c r="C49" s="22">
        <v>27000</v>
      </c>
      <c r="D49" s="22">
        <f>(C49-30*'Cable TRAY VER.1.1'!$I$35)</f>
        <v>-261540</v>
      </c>
      <c r="E49" s="22">
        <f t="shared" si="11"/>
        <v>54000</v>
      </c>
      <c r="F49" s="22">
        <f>(E49-30*'Cable TRAY VER.1.1'!$I$35)</f>
        <v>-234540</v>
      </c>
      <c r="G49" s="22">
        <f t="shared" ref="G49" si="12">C49*3</f>
        <v>81000</v>
      </c>
      <c r="H49" s="22">
        <f>(G49-30*'Cable TRAY VER.1.1'!$I$35)</f>
        <v>-207540</v>
      </c>
      <c r="I49" s="22">
        <f t="shared" ref="I49" si="13">C49*4</f>
        <v>108000</v>
      </c>
      <c r="J49" s="22">
        <f>(I49-30*'Cable TRAY VER.1.1'!$I$35)</f>
        <v>-180540</v>
      </c>
      <c r="K49" s="22">
        <f t="shared" ref="K49" si="14">C49*5</f>
        <v>135000</v>
      </c>
      <c r="L49" s="22">
        <f>(K49-30*'Cable TRAY VER.1.1'!$I$35)</f>
        <v>-153540</v>
      </c>
      <c r="M49" s="22">
        <f t="shared" ref="M49" si="15">C49*6</f>
        <v>162000</v>
      </c>
      <c r="N49" s="22">
        <f>(M49-30*'Cable TRAY VER.1.1'!$I$35)</f>
        <v>-126540</v>
      </c>
      <c r="O49" s="22">
        <f t="shared" ref="O49" si="16">C49*7</f>
        <v>189000</v>
      </c>
      <c r="P49" s="22">
        <f>(O49-30*'Cable TRAY VER.1.1'!$I$35)</f>
        <v>-99540</v>
      </c>
      <c r="Q49" s="22">
        <f t="shared" ref="Q49" si="17">C49*8</f>
        <v>216000</v>
      </c>
      <c r="R49" s="22">
        <f>(Q49-30*'Cable TRAY VER.1.1'!$I$35)</f>
        <v>-72540</v>
      </c>
      <c r="S49" s="22">
        <f t="shared" ref="S49" si="18">C49*9</f>
        <v>243000</v>
      </c>
      <c r="T49" s="22">
        <f>(S49-30*'Cable TRAY VER.1.1'!$I$35)</f>
        <v>-45540</v>
      </c>
      <c r="U49" s="22">
        <f t="shared" ref="U49" si="19">C49*10</f>
        <v>270000</v>
      </c>
      <c r="V49" s="22">
        <f>(U49-30*'Cable TRAY VER.1.1'!$I$35)</f>
        <v>-18540</v>
      </c>
    </row>
    <row r="51" spans="2:22" x14ac:dyDescent="0.2">
      <c r="B51" s="35" t="s">
        <v>12</v>
      </c>
      <c r="C51" s="35"/>
      <c r="D51" s="35"/>
      <c r="E51" s="35"/>
      <c r="F51" s="35"/>
      <c r="G51" s="35"/>
      <c r="H51" s="35"/>
      <c r="I51" s="35"/>
      <c r="J51" s="35"/>
    </row>
    <row r="52" spans="2:22" x14ac:dyDescent="0.2">
      <c r="B52" s="35"/>
      <c r="C52" s="35"/>
      <c r="D52" s="35"/>
      <c r="E52" s="35"/>
      <c r="F52" s="35"/>
      <c r="G52" s="35"/>
      <c r="H52" s="35"/>
      <c r="I52" s="35"/>
      <c r="J52" s="35"/>
    </row>
    <row r="53" spans="2:22" x14ac:dyDescent="0.2">
      <c r="C53" s="36" t="s">
        <v>22</v>
      </c>
      <c r="D53" s="36"/>
      <c r="E53" s="36" t="s">
        <v>13</v>
      </c>
      <c r="F53" s="36"/>
      <c r="G53" s="36" t="s">
        <v>14</v>
      </c>
      <c r="H53" s="36"/>
      <c r="I53" s="36" t="s">
        <v>15</v>
      </c>
      <c r="J53" s="36"/>
      <c r="K53" s="36" t="s">
        <v>16</v>
      </c>
      <c r="L53" s="36"/>
      <c r="M53" s="36" t="s">
        <v>17</v>
      </c>
      <c r="N53" s="36"/>
      <c r="O53" s="36" t="s">
        <v>18</v>
      </c>
      <c r="P53" s="36"/>
      <c r="Q53" s="36" t="s">
        <v>19</v>
      </c>
      <c r="R53" s="36"/>
      <c r="S53" s="36" t="s">
        <v>20</v>
      </c>
      <c r="T53" s="36"/>
      <c r="U53" s="35" t="s">
        <v>21</v>
      </c>
      <c r="V53" s="35"/>
    </row>
    <row r="54" spans="2:22" x14ac:dyDescent="0.2">
      <c r="B54" s="27">
        <v>50</v>
      </c>
      <c r="C54" s="22">
        <v>1400</v>
      </c>
      <c r="D54" s="22">
        <f>(C54-28*'Cable TRAY VER.1.1'!$I$35)</f>
        <v>-267904</v>
      </c>
      <c r="E54" s="22">
        <f t="shared" ref="E54:E64" si="20">C54*2</f>
        <v>2800</v>
      </c>
      <c r="F54" s="22">
        <f>(E54-28*'Cable TRAY VER.1.1'!$I$35)</f>
        <v>-266504</v>
      </c>
      <c r="G54" s="22">
        <f t="shared" ref="G54:G64" si="21">C54*3</f>
        <v>4200</v>
      </c>
      <c r="H54" s="22">
        <f>(G54-28*'Cable TRAY VER.1.1'!$I$35)</f>
        <v>-265104</v>
      </c>
      <c r="I54" s="22">
        <f t="shared" ref="I54:I64" si="22">C54*4</f>
        <v>5600</v>
      </c>
      <c r="J54" s="22">
        <f>(I54-28*'Cable TRAY VER.1.1'!$I$35)</f>
        <v>-263704</v>
      </c>
      <c r="K54" s="22">
        <f t="shared" ref="K54:K64" si="23">C54*5</f>
        <v>7000</v>
      </c>
      <c r="L54" s="22">
        <f>(K54-28*'Cable TRAY VER.1.1'!$I$35)</f>
        <v>-262304</v>
      </c>
      <c r="M54" s="22">
        <f t="shared" ref="M54:M64" si="24">C54*6</f>
        <v>8400</v>
      </c>
      <c r="N54" s="22">
        <f>(M54-28*'Cable TRAY VER.1.1'!$I$35)</f>
        <v>-260904</v>
      </c>
      <c r="O54" s="22">
        <f t="shared" ref="O54:O64" si="25">C54*7</f>
        <v>9800</v>
      </c>
      <c r="P54" s="22">
        <f>(O54-28*'Cable TRAY VER.1.1'!$I$35)</f>
        <v>-259504</v>
      </c>
      <c r="Q54" s="22">
        <f t="shared" ref="Q54:Q64" si="26">C54*8</f>
        <v>11200</v>
      </c>
      <c r="R54" s="22">
        <f>(Q54-28*'Cable TRAY VER.1.1'!$I$35)</f>
        <v>-258104</v>
      </c>
      <c r="S54" s="22">
        <f t="shared" ref="S54:S64" si="27">C54*9</f>
        <v>12600</v>
      </c>
      <c r="T54" s="22">
        <f>(S54-28*'Cable TRAY VER.1.1'!$I$35)</f>
        <v>-256704</v>
      </c>
      <c r="U54" s="22">
        <f t="shared" ref="U54:U64" si="28">C54*10</f>
        <v>14000</v>
      </c>
      <c r="V54" s="22">
        <f>(U54-28*'Cable TRAY VER.1.1'!$I$35)</f>
        <v>-255304</v>
      </c>
    </row>
    <row r="55" spans="2:22" x14ac:dyDescent="0.2">
      <c r="B55" s="27">
        <v>100</v>
      </c>
      <c r="C55" s="22">
        <v>2800</v>
      </c>
      <c r="D55" s="22">
        <f>(C55-28*'Cable TRAY VER.1.1'!$I$35)</f>
        <v>-266504</v>
      </c>
      <c r="E55" s="22">
        <f t="shared" si="20"/>
        <v>5600</v>
      </c>
      <c r="F55" s="22">
        <f>(E55-28*'Cable TRAY VER.1.1'!$I$35)</f>
        <v>-263704</v>
      </c>
      <c r="G55" s="22">
        <f t="shared" si="21"/>
        <v>8400</v>
      </c>
      <c r="H55" s="22">
        <f>(G55-28*'Cable TRAY VER.1.1'!$I$35)</f>
        <v>-260904</v>
      </c>
      <c r="I55" s="22">
        <f t="shared" si="22"/>
        <v>11200</v>
      </c>
      <c r="J55" s="22">
        <f>(I55-28*'Cable TRAY VER.1.1'!$I$35)</f>
        <v>-258104</v>
      </c>
      <c r="K55" s="22">
        <f t="shared" si="23"/>
        <v>14000</v>
      </c>
      <c r="L55" s="22">
        <f>(K55-28*'Cable TRAY VER.1.1'!$I$35)</f>
        <v>-255304</v>
      </c>
      <c r="M55" s="22">
        <f t="shared" si="24"/>
        <v>16800</v>
      </c>
      <c r="N55" s="22">
        <f>(M55-28*'Cable TRAY VER.1.1'!$I$35)</f>
        <v>-252504</v>
      </c>
      <c r="O55" s="22">
        <f t="shared" si="25"/>
        <v>19600</v>
      </c>
      <c r="P55" s="22">
        <f>(O55-28*'Cable TRAY VER.1.1'!$I$35)</f>
        <v>-249704</v>
      </c>
      <c r="Q55" s="22">
        <f t="shared" si="26"/>
        <v>22400</v>
      </c>
      <c r="R55" s="22">
        <f>(Q55-28*'Cable TRAY VER.1.1'!$I$35)</f>
        <v>-246904</v>
      </c>
      <c r="S55" s="22">
        <f t="shared" si="27"/>
        <v>25200</v>
      </c>
      <c r="T55" s="22">
        <f>(S55-28*'Cable TRAY VER.1.1'!$I$35)</f>
        <v>-244104</v>
      </c>
      <c r="U55" s="22">
        <f t="shared" si="28"/>
        <v>28000</v>
      </c>
      <c r="V55" s="22">
        <f>(U55-28*'Cable TRAY VER.1.1'!$I$35)</f>
        <v>-241304</v>
      </c>
    </row>
    <row r="56" spans="2:22" x14ac:dyDescent="0.2">
      <c r="B56" s="27">
        <v>150</v>
      </c>
      <c r="C56" s="22">
        <v>4200</v>
      </c>
      <c r="D56" s="22">
        <f>(C56-28*'Cable TRAY VER.1.1'!$I$35)</f>
        <v>-265104</v>
      </c>
      <c r="E56" s="22">
        <f t="shared" si="20"/>
        <v>8400</v>
      </c>
      <c r="F56" s="22">
        <f>(E56-28*'Cable TRAY VER.1.1'!$I$35)</f>
        <v>-260904</v>
      </c>
      <c r="G56" s="22">
        <f t="shared" si="21"/>
        <v>12600</v>
      </c>
      <c r="H56" s="22">
        <f>(G56-28*'Cable TRAY VER.1.1'!$I$35)</f>
        <v>-256704</v>
      </c>
      <c r="I56" s="22">
        <f t="shared" si="22"/>
        <v>16800</v>
      </c>
      <c r="J56" s="22">
        <f>(I56-28*'Cable TRAY VER.1.1'!$I$35)</f>
        <v>-252504</v>
      </c>
      <c r="K56" s="22">
        <f t="shared" si="23"/>
        <v>21000</v>
      </c>
      <c r="L56" s="22">
        <f>(K56-28*'Cable TRAY VER.1.1'!$I$35)</f>
        <v>-248304</v>
      </c>
      <c r="M56" s="22">
        <f t="shared" si="24"/>
        <v>25200</v>
      </c>
      <c r="N56" s="22">
        <f>(M56-28*'Cable TRAY VER.1.1'!$I$35)</f>
        <v>-244104</v>
      </c>
      <c r="O56" s="22">
        <f t="shared" si="25"/>
        <v>29400</v>
      </c>
      <c r="P56" s="22">
        <f>(O56-28*'Cable TRAY VER.1.1'!$I$35)</f>
        <v>-239904</v>
      </c>
      <c r="Q56" s="22">
        <f t="shared" si="26"/>
        <v>33600</v>
      </c>
      <c r="R56" s="22">
        <f>(Q56-28*'Cable TRAY VER.1.1'!$I$35)</f>
        <v>-235704</v>
      </c>
      <c r="S56" s="22">
        <f t="shared" si="27"/>
        <v>37800</v>
      </c>
      <c r="T56" s="22">
        <f>(S56-28*'Cable TRAY VER.1.1'!$I$35)</f>
        <v>-231504</v>
      </c>
      <c r="U56" s="22">
        <f t="shared" si="28"/>
        <v>42000</v>
      </c>
      <c r="V56" s="22">
        <f>(U56-28*'Cable TRAY VER.1.1'!$I$35)</f>
        <v>-227304</v>
      </c>
    </row>
    <row r="57" spans="2:22" x14ac:dyDescent="0.2">
      <c r="B57" s="27">
        <v>200</v>
      </c>
      <c r="C57" s="22">
        <v>5600</v>
      </c>
      <c r="D57" s="22">
        <f>(C57-28*'Cable TRAY VER.1.1'!$I$35)</f>
        <v>-263704</v>
      </c>
      <c r="E57" s="22">
        <f t="shared" si="20"/>
        <v>11200</v>
      </c>
      <c r="F57" s="22">
        <f>(E57-28*'Cable TRAY VER.1.1'!$I$35)</f>
        <v>-258104</v>
      </c>
      <c r="G57" s="22">
        <f t="shared" si="21"/>
        <v>16800</v>
      </c>
      <c r="H57" s="22">
        <f>(G57-28*'Cable TRAY VER.1.1'!$I$35)</f>
        <v>-252504</v>
      </c>
      <c r="I57" s="22">
        <f t="shared" si="22"/>
        <v>22400</v>
      </c>
      <c r="J57" s="22">
        <f>(I57-28*'Cable TRAY VER.1.1'!$I$35)</f>
        <v>-246904</v>
      </c>
      <c r="K57" s="22">
        <f t="shared" si="23"/>
        <v>28000</v>
      </c>
      <c r="L57" s="22">
        <f>(K57-28*'Cable TRAY VER.1.1'!$I$35)</f>
        <v>-241304</v>
      </c>
      <c r="M57" s="22">
        <f t="shared" si="24"/>
        <v>33600</v>
      </c>
      <c r="N57" s="22">
        <f>(M57-28*'Cable TRAY VER.1.1'!$I$35)</f>
        <v>-235704</v>
      </c>
      <c r="O57" s="22">
        <f t="shared" si="25"/>
        <v>39200</v>
      </c>
      <c r="P57" s="22">
        <f>(O57-28*'Cable TRAY VER.1.1'!$I$35)</f>
        <v>-230104</v>
      </c>
      <c r="Q57" s="22">
        <f t="shared" si="26"/>
        <v>44800</v>
      </c>
      <c r="R57" s="22">
        <f>(Q57-28*'Cable TRAY VER.1.1'!$I$35)</f>
        <v>-224504</v>
      </c>
      <c r="S57" s="22">
        <f t="shared" si="27"/>
        <v>50400</v>
      </c>
      <c r="T57" s="22">
        <f>(S57-28*'Cable TRAY VER.1.1'!$I$35)</f>
        <v>-218904</v>
      </c>
      <c r="U57" s="22">
        <f t="shared" si="28"/>
        <v>56000</v>
      </c>
      <c r="V57" s="22">
        <f>(U57-28*'Cable TRAY VER.1.1'!$I$35)</f>
        <v>-213304</v>
      </c>
    </row>
    <row r="58" spans="2:22" x14ac:dyDescent="0.2">
      <c r="B58" s="27">
        <v>225</v>
      </c>
      <c r="C58" s="22">
        <v>6100</v>
      </c>
      <c r="D58" s="22">
        <f>(C58-28*'Cable TRAY VER.1.1'!$I$35)</f>
        <v>-263204</v>
      </c>
      <c r="E58" s="22">
        <f t="shared" si="20"/>
        <v>12200</v>
      </c>
      <c r="F58" s="22">
        <f>(E58-28*'Cable TRAY VER.1.1'!$I$35)</f>
        <v>-257104</v>
      </c>
      <c r="G58" s="22">
        <f t="shared" si="21"/>
        <v>18300</v>
      </c>
      <c r="H58" s="22">
        <f>(G58-28*'Cable TRAY VER.1.1'!$I$35)</f>
        <v>-251004</v>
      </c>
      <c r="I58" s="22">
        <f t="shared" si="22"/>
        <v>24400</v>
      </c>
      <c r="J58" s="22">
        <f>(I58-28*'Cable TRAY VER.1.1'!$I$35)</f>
        <v>-244904</v>
      </c>
      <c r="K58" s="22">
        <f t="shared" si="23"/>
        <v>30500</v>
      </c>
      <c r="L58" s="22">
        <f>(K58-28*'Cable TRAY VER.1.1'!$I$35)</f>
        <v>-238804</v>
      </c>
      <c r="M58" s="22">
        <f t="shared" si="24"/>
        <v>36600</v>
      </c>
      <c r="N58" s="22">
        <f>(M58-28*'Cable TRAY VER.1.1'!$I$35)</f>
        <v>-232704</v>
      </c>
      <c r="O58" s="22">
        <f t="shared" si="25"/>
        <v>42700</v>
      </c>
      <c r="P58" s="22">
        <f>(O58-28*'Cable TRAY VER.1.1'!$I$35)</f>
        <v>-226604</v>
      </c>
      <c r="Q58" s="22">
        <f t="shared" si="26"/>
        <v>48800</v>
      </c>
      <c r="R58" s="22">
        <f>(Q58-28*'Cable TRAY VER.1.1'!$I$35)</f>
        <v>-220504</v>
      </c>
      <c r="S58" s="22">
        <f t="shared" si="27"/>
        <v>54900</v>
      </c>
      <c r="T58" s="22">
        <f>(S58-28*'Cable TRAY VER.1.1'!$I$35)</f>
        <v>-214404</v>
      </c>
      <c r="U58" s="22">
        <f t="shared" si="28"/>
        <v>61000</v>
      </c>
      <c r="V58" s="22">
        <f>(U58-28*'Cable TRAY VER.1.1'!$I$35)</f>
        <v>-208304</v>
      </c>
    </row>
    <row r="59" spans="2:22" x14ac:dyDescent="0.2">
      <c r="B59" s="27">
        <v>300</v>
      </c>
      <c r="C59" s="22">
        <v>8400</v>
      </c>
      <c r="D59" s="22">
        <f>(C59-28*'Cable TRAY VER.1.1'!$I$35)</f>
        <v>-260904</v>
      </c>
      <c r="E59" s="22">
        <f t="shared" si="20"/>
        <v>16800</v>
      </c>
      <c r="F59" s="22">
        <f>(E59-28*'Cable TRAY VER.1.1'!$I$35)</f>
        <v>-252504</v>
      </c>
      <c r="G59" s="22">
        <f t="shared" si="21"/>
        <v>25200</v>
      </c>
      <c r="H59" s="22">
        <f>(G59-28*'Cable TRAY VER.1.1'!$I$35)</f>
        <v>-244104</v>
      </c>
      <c r="I59" s="22">
        <f t="shared" si="22"/>
        <v>33600</v>
      </c>
      <c r="J59" s="22">
        <f>(I59-28*'Cable TRAY VER.1.1'!$I$35)</f>
        <v>-235704</v>
      </c>
      <c r="K59" s="22">
        <f t="shared" si="23"/>
        <v>42000</v>
      </c>
      <c r="L59" s="22">
        <f>(K59-28*'Cable TRAY VER.1.1'!$I$35)</f>
        <v>-227304</v>
      </c>
      <c r="M59" s="22">
        <f t="shared" si="24"/>
        <v>50400</v>
      </c>
      <c r="N59" s="22">
        <f>(M59-28*'Cable TRAY VER.1.1'!$I$35)</f>
        <v>-218904</v>
      </c>
      <c r="O59" s="22">
        <f t="shared" si="25"/>
        <v>58800</v>
      </c>
      <c r="P59" s="22">
        <f>(O59-28*'Cable TRAY VER.1.1'!$I$35)</f>
        <v>-210504</v>
      </c>
      <c r="Q59" s="22">
        <f t="shared" si="26"/>
        <v>67200</v>
      </c>
      <c r="R59" s="22">
        <f>(Q59-28*'Cable TRAY VER.1.1'!$I$35)</f>
        <v>-202104</v>
      </c>
      <c r="S59" s="22">
        <f t="shared" si="27"/>
        <v>75600</v>
      </c>
      <c r="T59" s="22">
        <f>(S59-28*'Cable TRAY VER.1.1'!$I$35)</f>
        <v>-193704</v>
      </c>
      <c r="U59" s="22">
        <f t="shared" si="28"/>
        <v>84000</v>
      </c>
      <c r="V59" s="22">
        <f>(U59-28*'Cable TRAY VER.1.1'!$I$35)</f>
        <v>-185304</v>
      </c>
    </row>
    <row r="60" spans="2:22" x14ac:dyDescent="0.2">
      <c r="B60" s="27">
        <v>400</v>
      </c>
      <c r="C60" s="22">
        <v>11200</v>
      </c>
      <c r="D60" s="22">
        <f>(C60-28*'Cable TRAY VER.1.1'!$I$35)</f>
        <v>-258104</v>
      </c>
      <c r="E60" s="22">
        <f t="shared" si="20"/>
        <v>22400</v>
      </c>
      <c r="F60" s="22">
        <f>(E60-28*'Cable TRAY VER.1.1'!$I$35)</f>
        <v>-246904</v>
      </c>
      <c r="G60" s="22">
        <f t="shared" si="21"/>
        <v>33600</v>
      </c>
      <c r="H60" s="22">
        <f>(G60-28*'Cable TRAY VER.1.1'!$I$35)</f>
        <v>-235704</v>
      </c>
      <c r="I60" s="22">
        <f t="shared" si="22"/>
        <v>44800</v>
      </c>
      <c r="J60" s="22">
        <f>(I60-28*'Cable TRAY VER.1.1'!$I$35)</f>
        <v>-224504</v>
      </c>
      <c r="K60" s="22">
        <f t="shared" si="23"/>
        <v>56000</v>
      </c>
      <c r="L60" s="22">
        <f>(K60-28*'Cable TRAY VER.1.1'!$I$35)</f>
        <v>-213304</v>
      </c>
      <c r="M60" s="22">
        <f t="shared" si="24"/>
        <v>67200</v>
      </c>
      <c r="N60" s="22">
        <f>(M60-28*'Cable TRAY VER.1.1'!$I$35)</f>
        <v>-202104</v>
      </c>
      <c r="O60" s="22">
        <f t="shared" si="25"/>
        <v>78400</v>
      </c>
      <c r="P60" s="22">
        <f>(O60-28*'Cable TRAY VER.1.1'!$I$35)</f>
        <v>-190904</v>
      </c>
      <c r="Q60" s="22">
        <f t="shared" si="26"/>
        <v>89600</v>
      </c>
      <c r="R60" s="22">
        <f>(Q60-28*'Cable TRAY VER.1.1'!$I$35)</f>
        <v>-179704</v>
      </c>
      <c r="S60" s="22">
        <f t="shared" si="27"/>
        <v>100800</v>
      </c>
      <c r="T60" s="22">
        <f>(S60-28*'Cable TRAY VER.1.1'!$I$35)</f>
        <v>-168504</v>
      </c>
      <c r="U60" s="22">
        <f t="shared" si="28"/>
        <v>112000</v>
      </c>
      <c r="V60" s="22">
        <f>(U60-28*'Cable TRAY VER.1.1'!$I$35)</f>
        <v>-157304</v>
      </c>
    </row>
    <row r="61" spans="2:22" x14ac:dyDescent="0.2">
      <c r="B61" s="27">
        <v>450</v>
      </c>
      <c r="C61" s="22">
        <v>12600</v>
      </c>
      <c r="D61" s="22">
        <f>(C61-28*'Cable TRAY VER.1.1'!$I$35)</f>
        <v>-256704</v>
      </c>
      <c r="E61" s="22">
        <f t="shared" si="20"/>
        <v>25200</v>
      </c>
      <c r="F61" s="22">
        <f>(E61-28*'Cable TRAY VER.1.1'!$I$35)</f>
        <v>-244104</v>
      </c>
      <c r="G61" s="22">
        <f t="shared" si="21"/>
        <v>37800</v>
      </c>
      <c r="H61" s="22">
        <f>(G61-28*'Cable TRAY VER.1.1'!$I$35)</f>
        <v>-231504</v>
      </c>
      <c r="I61" s="22">
        <f t="shared" si="22"/>
        <v>50400</v>
      </c>
      <c r="J61" s="22">
        <f>(I61-28*'Cable TRAY VER.1.1'!$I$35)</f>
        <v>-218904</v>
      </c>
      <c r="K61" s="22">
        <f t="shared" si="23"/>
        <v>63000</v>
      </c>
      <c r="L61" s="22">
        <f>(K61-28*'Cable TRAY VER.1.1'!$I$35)</f>
        <v>-206304</v>
      </c>
      <c r="M61" s="22">
        <f t="shared" si="24"/>
        <v>75600</v>
      </c>
      <c r="N61" s="22">
        <f>(M61-28*'Cable TRAY VER.1.1'!$I$35)</f>
        <v>-193704</v>
      </c>
      <c r="O61" s="22">
        <f t="shared" si="25"/>
        <v>88200</v>
      </c>
      <c r="P61" s="22">
        <f>(O61-28*'Cable TRAY VER.1.1'!$I$35)</f>
        <v>-181104</v>
      </c>
      <c r="Q61" s="22">
        <f t="shared" si="26"/>
        <v>100800</v>
      </c>
      <c r="R61" s="22">
        <f>(Q61-28*'Cable TRAY VER.1.1'!$I$35)</f>
        <v>-168504</v>
      </c>
      <c r="S61" s="22">
        <f t="shared" si="27"/>
        <v>113400</v>
      </c>
      <c r="T61" s="22">
        <f>(S61-28*'Cable TRAY VER.1.1'!$I$35)</f>
        <v>-155904</v>
      </c>
      <c r="U61" s="22">
        <f t="shared" si="28"/>
        <v>126000</v>
      </c>
      <c r="V61" s="22">
        <f>(U61-28*'Cable TRAY VER.1.1'!$I$35)</f>
        <v>-143304</v>
      </c>
    </row>
    <row r="62" spans="2:22" x14ac:dyDescent="0.2">
      <c r="B62" s="27">
        <v>500</v>
      </c>
      <c r="C62" s="22">
        <v>14000</v>
      </c>
      <c r="D62" s="22">
        <f>(C62-28*'Cable TRAY VER.1.1'!$I$35)</f>
        <v>-255304</v>
      </c>
      <c r="E62" s="22">
        <f t="shared" si="20"/>
        <v>28000</v>
      </c>
      <c r="F62" s="22">
        <f>(E62-28*'Cable TRAY VER.1.1'!$I$35)</f>
        <v>-241304</v>
      </c>
      <c r="G62" s="22">
        <f t="shared" si="21"/>
        <v>42000</v>
      </c>
      <c r="H62" s="22">
        <f>(G62-28*'Cable TRAY VER.1.1'!$I$35)</f>
        <v>-227304</v>
      </c>
      <c r="I62" s="22">
        <f t="shared" si="22"/>
        <v>56000</v>
      </c>
      <c r="J62" s="22">
        <f>(I62-28*'Cable TRAY VER.1.1'!$I$35)</f>
        <v>-213304</v>
      </c>
      <c r="K62" s="22">
        <f t="shared" si="23"/>
        <v>70000</v>
      </c>
      <c r="L62" s="22">
        <f>(K62-28*'Cable TRAY VER.1.1'!$I$35)</f>
        <v>-199304</v>
      </c>
      <c r="M62" s="22">
        <f t="shared" si="24"/>
        <v>84000</v>
      </c>
      <c r="N62" s="22">
        <f>(M62-28*'Cable TRAY VER.1.1'!$I$35)</f>
        <v>-185304</v>
      </c>
      <c r="O62" s="22">
        <f t="shared" si="25"/>
        <v>98000</v>
      </c>
      <c r="P62" s="22">
        <f>(O62-28*'Cable TRAY VER.1.1'!$I$35)</f>
        <v>-171304</v>
      </c>
      <c r="Q62" s="22">
        <f t="shared" si="26"/>
        <v>112000</v>
      </c>
      <c r="R62" s="22">
        <f>(Q62-28*'Cable TRAY VER.1.1'!$I$35)</f>
        <v>-157304</v>
      </c>
      <c r="S62" s="22">
        <f t="shared" si="27"/>
        <v>126000</v>
      </c>
      <c r="T62" s="22">
        <f>(S62-28*'Cable TRAY VER.1.1'!$I$35)</f>
        <v>-143304</v>
      </c>
      <c r="U62" s="22">
        <f t="shared" si="28"/>
        <v>140000</v>
      </c>
      <c r="V62" s="22">
        <f>(U62-28*'Cable TRAY VER.1.1'!$I$35)</f>
        <v>-129304</v>
      </c>
    </row>
    <row r="63" spans="2:22" x14ac:dyDescent="0.2">
      <c r="B63" s="27">
        <v>600</v>
      </c>
      <c r="C63" s="22">
        <v>16800</v>
      </c>
      <c r="D63" s="22">
        <f>(C63-28*'Cable TRAY VER.1.1'!$I$35)</f>
        <v>-252504</v>
      </c>
      <c r="E63" s="22">
        <f t="shared" si="20"/>
        <v>33600</v>
      </c>
      <c r="F63" s="22">
        <f>(E63-28*'Cable TRAY VER.1.1'!$I$35)</f>
        <v>-235704</v>
      </c>
      <c r="G63" s="22">
        <f t="shared" si="21"/>
        <v>50400</v>
      </c>
      <c r="H63" s="22">
        <f>(G63-28*'Cable TRAY VER.1.1'!$I$35)</f>
        <v>-218904</v>
      </c>
      <c r="I63" s="22">
        <f t="shared" si="22"/>
        <v>67200</v>
      </c>
      <c r="J63" s="22">
        <f>(I63-28*'Cable TRAY VER.1.1'!$I$35)</f>
        <v>-202104</v>
      </c>
      <c r="K63" s="22">
        <f t="shared" si="23"/>
        <v>84000</v>
      </c>
      <c r="L63" s="22">
        <f>(K63-28*'Cable TRAY VER.1.1'!$I$35)</f>
        <v>-185304</v>
      </c>
      <c r="M63" s="22">
        <f t="shared" si="24"/>
        <v>100800</v>
      </c>
      <c r="N63" s="22">
        <f>(M63-28*'Cable TRAY VER.1.1'!$I$35)</f>
        <v>-168504</v>
      </c>
      <c r="O63" s="22">
        <f t="shared" si="25"/>
        <v>117600</v>
      </c>
      <c r="P63" s="22">
        <f>(O63-28*'Cable TRAY VER.1.1'!$I$35)</f>
        <v>-151704</v>
      </c>
      <c r="Q63" s="22">
        <f t="shared" si="26"/>
        <v>134400</v>
      </c>
      <c r="R63" s="22">
        <f>(Q63-28*'Cable TRAY VER.1.1'!$I$35)</f>
        <v>-134904</v>
      </c>
      <c r="S63" s="22">
        <f t="shared" si="27"/>
        <v>151200</v>
      </c>
      <c r="T63" s="22">
        <f>(S63-28*'Cable TRAY VER.1.1'!$I$35)</f>
        <v>-118104</v>
      </c>
      <c r="U63" s="22">
        <f t="shared" si="28"/>
        <v>168000</v>
      </c>
      <c r="V63" s="22">
        <f>(U63-28*'Cable TRAY VER.1.1'!$I$35)</f>
        <v>-101304</v>
      </c>
    </row>
    <row r="64" spans="2:22" x14ac:dyDescent="0.2">
      <c r="B64" s="27">
        <v>750</v>
      </c>
      <c r="C64" s="22">
        <v>21000</v>
      </c>
      <c r="D64" s="22">
        <f>(C64-28*'Cable TRAY VER.1.1'!$I$35)</f>
        <v>-248304</v>
      </c>
      <c r="E64" s="22">
        <f t="shared" si="20"/>
        <v>42000</v>
      </c>
      <c r="F64" s="22">
        <f>(E64-28*'Cable TRAY VER.1.1'!$I$35)</f>
        <v>-227304</v>
      </c>
      <c r="G64" s="22">
        <f t="shared" si="21"/>
        <v>63000</v>
      </c>
      <c r="H64" s="22">
        <f>(G64-28*'Cable TRAY VER.1.1'!$I$35)</f>
        <v>-206304</v>
      </c>
      <c r="I64" s="22">
        <f t="shared" si="22"/>
        <v>84000</v>
      </c>
      <c r="J64" s="22">
        <f>(I64-28*'Cable TRAY VER.1.1'!$I$35)</f>
        <v>-185304</v>
      </c>
      <c r="K64" s="22">
        <f t="shared" si="23"/>
        <v>105000</v>
      </c>
      <c r="L64" s="22">
        <f>(K64-28*'Cable TRAY VER.1.1'!$I$35)</f>
        <v>-164304</v>
      </c>
      <c r="M64" s="22">
        <f t="shared" si="24"/>
        <v>126000</v>
      </c>
      <c r="N64" s="22">
        <f>(M64-28*'Cable TRAY VER.1.1'!$I$35)</f>
        <v>-143304</v>
      </c>
      <c r="O64" s="22">
        <f t="shared" si="25"/>
        <v>147000</v>
      </c>
      <c r="P64" s="22">
        <f>(O64-28*'Cable TRAY VER.1.1'!$I$35)</f>
        <v>-122304</v>
      </c>
      <c r="Q64" s="22">
        <f t="shared" si="26"/>
        <v>168000</v>
      </c>
      <c r="R64" s="22">
        <f>(Q64-28*'Cable TRAY VER.1.1'!$I$35)</f>
        <v>-101304</v>
      </c>
      <c r="S64" s="22">
        <f t="shared" si="27"/>
        <v>189000</v>
      </c>
      <c r="T64" s="22">
        <f>(S64-28*'Cable TRAY VER.1.1'!$I$35)</f>
        <v>-80304</v>
      </c>
      <c r="U64" s="22">
        <f t="shared" si="28"/>
        <v>210000</v>
      </c>
      <c r="V64" s="22">
        <f>(U64-28*'Cable TRAY VER.1.1'!$I$35)</f>
        <v>-59304</v>
      </c>
    </row>
    <row r="65" spans="1:22" x14ac:dyDescent="0.2">
      <c r="B65" s="27">
        <v>900</v>
      </c>
      <c r="C65" s="22">
        <v>25200</v>
      </c>
      <c r="D65" s="22">
        <f>(C65-28*'Cable TRAY VER.1.1'!$I$35)</f>
        <v>-244104</v>
      </c>
      <c r="E65" s="22">
        <f t="shared" ref="E65" si="29">C65*2</f>
        <v>50400</v>
      </c>
      <c r="F65" s="22">
        <f>(E65-28*'Cable TRAY VER.1.1'!$I$35)</f>
        <v>-218904</v>
      </c>
      <c r="G65" s="22">
        <f t="shared" ref="G65" si="30">C65*3</f>
        <v>75600</v>
      </c>
      <c r="H65" s="22">
        <f>(G65-28*'Cable TRAY VER.1.1'!$I$35)</f>
        <v>-193704</v>
      </c>
      <c r="I65" s="22">
        <f t="shared" ref="I65" si="31">C65*4</f>
        <v>100800</v>
      </c>
      <c r="J65" s="22">
        <f>(I65-28*'Cable TRAY VER.1.1'!$I$35)</f>
        <v>-168504</v>
      </c>
      <c r="K65" s="22">
        <f t="shared" ref="K65" si="32">C65*5</f>
        <v>126000</v>
      </c>
      <c r="L65" s="22">
        <f>(K65-28*'Cable TRAY VER.1.1'!$I$35)</f>
        <v>-143304</v>
      </c>
      <c r="M65" s="22">
        <f t="shared" ref="M65" si="33">C65*6</f>
        <v>151200</v>
      </c>
      <c r="N65" s="22">
        <f>(M65-28*'Cable TRAY VER.1.1'!$I$35)</f>
        <v>-118104</v>
      </c>
      <c r="O65" s="22">
        <f t="shared" ref="O65" si="34">C65*7</f>
        <v>176400</v>
      </c>
      <c r="P65" s="22">
        <f>(O65-28*'Cable TRAY VER.1.1'!$I$35)</f>
        <v>-92904</v>
      </c>
      <c r="Q65" s="22">
        <f t="shared" ref="Q65" si="35">C65*8</f>
        <v>201600</v>
      </c>
      <c r="R65" s="22">
        <f>(Q65-28*'Cable TRAY VER.1.1'!$I$35)</f>
        <v>-67704</v>
      </c>
      <c r="S65" s="22">
        <f t="shared" ref="S65" si="36">C65*9</f>
        <v>226800</v>
      </c>
      <c r="T65" s="22">
        <f>(S65-28*'Cable TRAY VER.1.1'!$I$35)</f>
        <v>-42504</v>
      </c>
      <c r="U65" s="22">
        <f t="shared" ref="U65" si="37">C65*10</f>
        <v>252000</v>
      </c>
      <c r="V65" s="22">
        <f>(U65-28*'Cable TRAY VER.1.1'!$I$35)</f>
        <v>-17304</v>
      </c>
    </row>
    <row r="67" spans="1:22" x14ac:dyDescent="0.2">
      <c r="A67" s="35" t="s">
        <v>24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22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22" ht="14.45" customHeight="1" x14ac:dyDescent="0.2">
      <c r="A69" s="27" t="s">
        <v>44</v>
      </c>
      <c r="C69" s="27" t="s">
        <v>45</v>
      </c>
      <c r="D69" s="27"/>
      <c r="E69" s="27"/>
      <c r="F69" s="27" t="s">
        <v>46</v>
      </c>
      <c r="G69" s="27"/>
      <c r="H69" s="27"/>
      <c r="I69" s="27" t="s">
        <v>47</v>
      </c>
      <c r="J69" s="27"/>
      <c r="K69" s="27"/>
      <c r="L69" s="27" t="s">
        <v>48</v>
      </c>
      <c r="M69" s="27"/>
      <c r="N69" s="27"/>
      <c r="O69" s="27" t="s">
        <v>49</v>
      </c>
      <c r="P69" s="27"/>
      <c r="Q69" s="27"/>
      <c r="R69" s="27"/>
      <c r="S69" s="27"/>
    </row>
    <row r="70" spans="1:22" ht="14.45" customHeight="1" x14ac:dyDescent="0.2">
      <c r="A70" s="27">
        <v>0</v>
      </c>
      <c r="C70" s="27"/>
      <c r="D70" s="27"/>
      <c r="E70" s="27"/>
      <c r="F70" s="27"/>
      <c r="G70" s="27"/>
      <c r="H70" s="27"/>
      <c r="I70" s="27"/>
      <c r="J70" s="27"/>
      <c r="K70" s="27"/>
      <c r="L70" s="27">
        <v>0</v>
      </c>
      <c r="M70" s="27"/>
      <c r="N70" s="27"/>
      <c r="O70" s="27"/>
      <c r="P70" s="27"/>
      <c r="Q70" s="27"/>
      <c r="R70" s="27"/>
      <c r="S70" s="27"/>
    </row>
    <row r="71" spans="1:22" x14ac:dyDescent="0.2">
      <c r="A71" s="27">
        <v>50</v>
      </c>
      <c r="C71" s="27">
        <v>18.2</v>
      </c>
      <c r="D71" s="27"/>
      <c r="E71" s="27"/>
      <c r="F71" s="27">
        <v>29</v>
      </c>
      <c r="G71" s="27"/>
      <c r="H71" s="27"/>
      <c r="I71" s="27">
        <v>1.6</v>
      </c>
      <c r="J71" s="27"/>
      <c r="K71" s="27"/>
      <c r="L71" s="27">
        <v>36</v>
      </c>
      <c r="M71" s="27"/>
      <c r="N71" s="27"/>
      <c r="O71" s="27">
        <v>170</v>
      </c>
      <c r="P71" s="27"/>
      <c r="Q71" s="27"/>
      <c r="R71" s="27"/>
      <c r="S71" s="27"/>
    </row>
    <row r="72" spans="1:22" x14ac:dyDescent="0.2">
      <c r="A72" s="27">
        <v>70</v>
      </c>
      <c r="C72" s="27">
        <v>19.8</v>
      </c>
      <c r="D72" s="27"/>
      <c r="E72" s="27"/>
      <c r="F72" s="27">
        <v>30</v>
      </c>
      <c r="G72" s="27"/>
      <c r="H72" s="27"/>
      <c r="I72" s="27">
        <v>2</v>
      </c>
      <c r="J72" s="27"/>
      <c r="K72" s="27"/>
      <c r="L72" s="27">
        <v>38</v>
      </c>
      <c r="M72" s="27"/>
      <c r="N72" s="27"/>
      <c r="O72" s="27">
        <v>200</v>
      </c>
      <c r="P72" s="27"/>
      <c r="Q72" s="27"/>
      <c r="R72" s="27"/>
      <c r="S72" s="27"/>
    </row>
    <row r="73" spans="1:22" x14ac:dyDescent="0.2">
      <c r="A73" s="27">
        <v>95</v>
      </c>
      <c r="C73" s="27">
        <v>21.5</v>
      </c>
      <c r="D73" s="27"/>
      <c r="E73" s="27"/>
      <c r="F73" s="27">
        <v>32</v>
      </c>
      <c r="G73" s="27"/>
      <c r="H73" s="27"/>
      <c r="I73" s="27">
        <v>2</v>
      </c>
      <c r="J73" s="27"/>
      <c r="K73" s="27"/>
      <c r="L73" s="27">
        <v>39</v>
      </c>
      <c r="M73" s="27"/>
      <c r="N73" s="27"/>
      <c r="O73" s="27">
        <v>240</v>
      </c>
      <c r="P73" s="27"/>
      <c r="Q73" s="27"/>
      <c r="R73" s="27"/>
      <c r="S73" s="27"/>
    </row>
    <row r="74" spans="1:22" x14ac:dyDescent="0.2">
      <c r="A74" s="27">
        <v>120</v>
      </c>
      <c r="C74" s="27">
        <v>22.8</v>
      </c>
      <c r="D74" s="27"/>
      <c r="E74" s="27"/>
      <c r="F74" s="27">
        <v>33</v>
      </c>
      <c r="G74" s="27"/>
      <c r="H74" s="27"/>
      <c r="I74" s="27">
        <v>2</v>
      </c>
      <c r="J74" s="27"/>
      <c r="K74" s="27"/>
      <c r="L74" s="27">
        <v>41</v>
      </c>
      <c r="M74" s="27"/>
      <c r="N74" s="27"/>
      <c r="O74" s="27">
        <v>300</v>
      </c>
      <c r="P74" s="27"/>
      <c r="Q74" s="27"/>
      <c r="R74" s="27"/>
      <c r="S74" s="27"/>
    </row>
    <row r="75" spans="1:22" x14ac:dyDescent="0.2">
      <c r="A75" s="27">
        <v>150</v>
      </c>
      <c r="C75" s="27">
        <v>24.4</v>
      </c>
      <c r="D75" s="27"/>
      <c r="E75" s="27"/>
      <c r="F75" s="27">
        <v>34</v>
      </c>
      <c r="G75" s="27"/>
      <c r="H75" s="27"/>
      <c r="I75" s="27">
        <v>2</v>
      </c>
      <c r="J75" s="27"/>
      <c r="K75" s="27"/>
      <c r="L75" s="27">
        <v>42</v>
      </c>
      <c r="M75" s="27"/>
      <c r="N75" s="27"/>
      <c r="O75" s="27">
        <v>350</v>
      </c>
      <c r="P75" s="27"/>
      <c r="Q75" s="27"/>
      <c r="R75" s="27"/>
      <c r="S75" s="27"/>
    </row>
    <row r="76" spans="1:22" x14ac:dyDescent="0.2">
      <c r="A76" s="27">
        <v>185</v>
      </c>
      <c r="C76" s="27">
        <v>26</v>
      </c>
      <c r="D76" s="27"/>
      <c r="E76" s="27"/>
      <c r="F76" s="27">
        <v>36</v>
      </c>
      <c r="G76" s="27"/>
      <c r="H76" s="27"/>
      <c r="I76" s="27">
        <v>2</v>
      </c>
      <c r="J76" s="27"/>
      <c r="K76" s="27"/>
      <c r="L76" s="27">
        <v>44</v>
      </c>
      <c r="M76" s="27"/>
      <c r="N76" s="27"/>
      <c r="O76" s="27">
        <v>440</v>
      </c>
      <c r="P76" s="27"/>
      <c r="Q76" s="27"/>
      <c r="R76" s="27"/>
      <c r="S76" s="27"/>
    </row>
    <row r="77" spans="1:22" x14ac:dyDescent="0.2">
      <c r="A77" s="27">
        <v>240</v>
      </c>
      <c r="C77" s="27">
        <v>28.3</v>
      </c>
      <c r="D77" s="27"/>
      <c r="E77" s="27"/>
      <c r="F77" s="27">
        <v>39</v>
      </c>
      <c r="G77" s="27"/>
      <c r="H77" s="27"/>
      <c r="I77" s="27">
        <v>2</v>
      </c>
      <c r="J77" s="27"/>
      <c r="K77" s="27"/>
      <c r="L77" s="27">
        <v>48</v>
      </c>
      <c r="M77" s="27"/>
      <c r="N77" s="27"/>
      <c r="O77" s="27">
        <v>510</v>
      </c>
      <c r="P77" s="27"/>
      <c r="Q77" s="27"/>
      <c r="R77" s="27"/>
      <c r="S77" s="27"/>
    </row>
    <row r="78" spans="1:22" x14ac:dyDescent="0.2">
      <c r="A78" s="27">
        <v>300</v>
      </c>
      <c r="C78" s="27">
        <v>30.6</v>
      </c>
      <c r="D78" s="27"/>
      <c r="E78" s="27"/>
      <c r="F78" s="27">
        <v>40</v>
      </c>
      <c r="G78" s="27"/>
      <c r="H78" s="27"/>
      <c r="I78" s="27">
        <v>2.5</v>
      </c>
      <c r="J78" s="27"/>
      <c r="K78" s="27"/>
      <c r="L78" s="27">
        <v>50</v>
      </c>
      <c r="M78" s="27"/>
      <c r="N78" s="27"/>
      <c r="O78" s="27">
        <v>610</v>
      </c>
      <c r="P78" s="27"/>
      <c r="Q78" s="27"/>
      <c r="R78" s="27"/>
      <c r="S78" s="27"/>
    </row>
    <row r="79" spans="1:22" x14ac:dyDescent="0.2">
      <c r="A79" s="27">
        <v>400</v>
      </c>
      <c r="C79" s="27">
        <v>33.4</v>
      </c>
      <c r="D79" s="27"/>
      <c r="E79" s="27"/>
      <c r="F79" s="27">
        <v>44</v>
      </c>
      <c r="G79" s="27"/>
      <c r="H79" s="27"/>
      <c r="I79" s="27">
        <v>2.5</v>
      </c>
      <c r="J79" s="27"/>
      <c r="K79" s="27"/>
      <c r="L79" s="27">
        <v>54</v>
      </c>
      <c r="M79" s="27"/>
      <c r="N79" s="27"/>
      <c r="O79" s="27">
        <v>730</v>
      </c>
      <c r="P79" s="27"/>
      <c r="Q79" s="27"/>
      <c r="R79" s="27"/>
      <c r="S79" s="27"/>
    </row>
    <row r="80" spans="1:22" x14ac:dyDescent="0.2">
      <c r="A80" s="27">
        <v>500</v>
      </c>
      <c r="C80" s="27">
        <v>36.4</v>
      </c>
      <c r="D80" s="27"/>
      <c r="E80" s="27"/>
      <c r="F80" s="27">
        <v>48</v>
      </c>
      <c r="G80" s="27"/>
      <c r="H80" s="27"/>
      <c r="I80" s="27">
        <v>2.5</v>
      </c>
      <c r="J80" s="27"/>
      <c r="K80" s="27"/>
      <c r="L80" s="27">
        <v>58</v>
      </c>
      <c r="M80" s="27"/>
      <c r="N80" s="27"/>
      <c r="O80" s="27">
        <v>890</v>
      </c>
      <c r="P80" s="27"/>
      <c r="Q80" s="27"/>
      <c r="R80" s="27"/>
      <c r="S80" s="27"/>
    </row>
    <row r="81" spans="1:19" x14ac:dyDescent="0.2">
      <c r="A81" s="27">
        <v>630</v>
      </c>
      <c r="C81" s="27">
        <v>40</v>
      </c>
      <c r="D81" s="27"/>
      <c r="E81" s="27"/>
      <c r="F81" s="27">
        <v>52</v>
      </c>
      <c r="G81" s="27"/>
      <c r="H81" s="27"/>
      <c r="I81" s="27">
        <v>2.5</v>
      </c>
      <c r="J81" s="27"/>
      <c r="K81" s="27"/>
      <c r="L81" s="27">
        <v>62</v>
      </c>
      <c r="M81" s="27"/>
      <c r="N81" s="27"/>
      <c r="O81" s="27">
        <v>1080</v>
      </c>
      <c r="P81" s="27"/>
      <c r="Q81" s="27"/>
      <c r="R81" s="27"/>
      <c r="S81" s="27"/>
    </row>
    <row r="84" spans="1:19" x14ac:dyDescent="0.2">
      <c r="A84" s="35" t="s">
        <v>25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19" x14ac:dyDescent="0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9" ht="14.45" customHeight="1" x14ac:dyDescent="0.2">
      <c r="A86" s="27" t="s">
        <v>44</v>
      </c>
      <c r="C86" s="27" t="s">
        <v>45</v>
      </c>
      <c r="D86" s="27"/>
      <c r="E86" s="27"/>
      <c r="F86" s="27" t="s">
        <v>46</v>
      </c>
      <c r="G86" s="27"/>
      <c r="H86" s="27"/>
      <c r="I86" s="27" t="s">
        <v>47</v>
      </c>
      <c r="J86" s="27"/>
      <c r="K86" s="27"/>
      <c r="L86" s="27" t="s">
        <v>48</v>
      </c>
      <c r="M86" s="27"/>
      <c r="N86" s="27"/>
      <c r="O86" s="27" t="s">
        <v>49</v>
      </c>
      <c r="P86" s="27"/>
      <c r="Q86" s="27"/>
      <c r="R86" s="27"/>
      <c r="S86" s="27"/>
    </row>
    <row r="87" spans="1:19" ht="14.45" customHeight="1" x14ac:dyDescent="0.2">
      <c r="A87" s="27">
        <v>0</v>
      </c>
      <c r="C87" s="27"/>
      <c r="D87" s="27"/>
      <c r="E87" s="27"/>
      <c r="F87" s="27"/>
      <c r="G87" s="27"/>
      <c r="H87" s="27"/>
      <c r="I87" s="27"/>
      <c r="J87" s="27"/>
      <c r="K87" s="27"/>
      <c r="L87" s="27">
        <v>0</v>
      </c>
      <c r="M87" s="27"/>
      <c r="N87" s="27"/>
      <c r="O87" s="27"/>
      <c r="P87" s="27"/>
      <c r="Q87" s="27"/>
      <c r="R87" s="27"/>
      <c r="S87" s="27"/>
    </row>
    <row r="88" spans="1:19" x14ac:dyDescent="0.2">
      <c r="A88" s="27">
        <v>50</v>
      </c>
      <c r="C88" s="27">
        <v>20.2</v>
      </c>
      <c r="D88" s="27"/>
      <c r="E88" s="27"/>
      <c r="F88" s="27">
        <v>53</v>
      </c>
      <c r="G88" s="27"/>
      <c r="H88" s="27"/>
      <c r="I88" s="27">
        <v>2.5</v>
      </c>
      <c r="J88" s="27"/>
      <c r="K88" s="27"/>
      <c r="L88" s="27">
        <v>64</v>
      </c>
      <c r="M88" s="27"/>
      <c r="N88" s="27"/>
      <c r="O88" s="27">
        <v>700</v>
      </c>
      <c r="P88" s="27"/>
      <c r="Q88" s="27"/>
      <c r="R88" s="27"/>
      <c r="S88" s="27"/>
    </row>
    <row r="89" spans="1:19" x14ac:dyDescent="0.2">
      <c r="A89" s="27">
        <v>70</v>
      </c>
      <c r="C89" s="27">
        <v>21.8</v>
      </c>
      <c r="D89" s="27"/>
      <c r="E89" s="27"/>
      <c r="F89" s="27">
        <v>57</v>
      </c>
      <c r="G89" s="27"/>
      <c r="H89" s="27"/>
      <c r="I89" s="27">
        <v>2.5</v>
      </c>
      <c r="J89" s="27"/>
      <c r="K89" s="27"/>
      <c r="L89" s="27">
        <v>68</v>
      </c>
      <c r="M89" s="27"/>
      <c r="N89" s="27"/>
      <c r="O89" s="27">
        <v>780</v>
      </c>
      <c r="P89" s="27"/>
      <c r="Q89" s="27"/>
      <c r="R89" s="27"/>
      <c r="S89" s="27"/>
    </row>
    <row r="90" spans="1:19" x14ac:dyDescent="0.2">
      <c r="A90" s="27">
        <v>95</v>
      </c>
      <c r="C90" s="27">
        <v>23.5</v>
      </c>
      <c r="D90" s="27"/>
      <c r="E90" s="27"/>
      <c r="F90" s="27">
        <v>63</v>
      </c>
      <c r="G90" s="27"/>
      <c r="H90" s="27"/>
      <c r="I90" s="27">
        <v>2.5</v>
      </c>
      <c r="J90" s="27"/>
      <c r="K90" s="27"/>
      <c r="L90" s="27">
        <v>74</v>
      </c>
      <c r="M90" s="27"/>
      <c r="N90" s="27"/>
      <c r="O90" s="27">
        <v>900</v>
      </c>
      <c r="P90" s="27"/>
      <c r="Q90" s="27"/>
      <c r="R90" s="27"/>
      <c r="S90" s="27"/>
    </row>
    <row r="91" spans="1:19" x14ac:dyDescent="0.2">
      <c r="A91" s="27">
        <v>120</v>
      </c>
      <c r="C91" s="27">
        <v>24.8</v>
      </c>
      <c r="D91" s="27"/>
      <c r="E91" s="27"/>
      <c r="F91" s="27">
        <v>65</v>
      </c>
      <c r="G91" s="27"/>
      <c r="H91" s="27"/>
      <c r="I91" s="27">
        <v>3.15</v>
      </c>
      <c r="J91" s="27"/>
      <c r="K91" s="27"/>
      <c r="L91" s="27">
        <v>77</v>
      </c>
      <c r="M91" s="27"/>
      <c r="N91" s="27"/>
      <c r="O91" s="27">
        <v>1100</v>
      </c>
      <c r="P91" s="27"/>
      <c r="Q91" s="27"/>
      <c r="R91" s="27"/>
      <c r="S91" s="27"/>
    </row>
    <row r="92" spans="1:19" x14ac:dyDescent="0.2">
      <c r="A92" s="27">
        <v>150</v>
      </c>
      <c r="C92" s="27">
        <v>26.4</v>
      </c>
      <c r="D92" s="27"/>
      <c r="E92" s="27"/>
      <c r="F92" s="27">
        <v>67</v>
      </c>
      <c r="G92" s="27"/>
      <c r="H92" s="27"/>
      <c r="I92" s="27">
        <v>3.15</v>
      </c>
      <c r="J92" s="27"/>
      <c r="K92" s="27"/>
      <c r="L92" s="27">
        <v>80</v>
      </c>
      <c r="M92" s="27"/>
      <c r="N92" s="27"/>
      <c r="O92" s="27">
        <v>1200</v>
      </c>
      <c r="P92" s="27"/>
      <c r="Q92" s="27"/>
      <c r="R92" s="27"/>
      <c r="S92" s="27"/>
    </row>
    <row r="93" spans="1:19" x14ac:dyDescent="0.2">
      <c r="A93" s="27">
        <v>185</v>
      </c>
      <c r="C93" s="27">
        <v>28</v>
      </c>
      <c r="D93" s="27"/>
      <c r="E93" s="27"/>
      <c r="F93" s="27">
        <v>72</v>
      </c>
      <c r="G93" s="27"/>
      <c r="H93" s="27"/>
      <c r="I93" s="27">
        <v>3.15</v>
      </c>
      <c r="J93" s="27"/>
      <c r="K93" s="27"/>
      <c r="L93" s="27">
        <v>84</v>
      </c>
      <c r="M93" s="27"/>
      <c r="N93" s="27"/>
      <c r="O93" s="27">
        <v>1400</v>
      </c>
      <c r="P93" s="27"/>
      <c r="Q93" s="27"/>
      <c r="R93" s="27"/>
      <c r="S93" s="27"/>
    </row>
    <row r="94" spans="1:19" x14ac:dyDescent="0.2">
      <c r="A94" s="27">
        <v>240</v>
      </c>
      <c r="C94" s="27">
        <v>30.3</v>
      </c>
      <c r="D94" s="27"/>
      <c r="E94" s="27"/>
      <c r="F94" s="27">
        <v>76</v>
      </c>
      <c r="G94" s="27"/>
      <c r="H94" s="27"/>
      <c r="I94" s="27">
        <v>3.15</v>
      </c>
      <c r="J94" s="27"/>
      <c r="K94" s="27"/>
      <c r="L94" s="27">
        <v>88</v>
      </c>
      <c r="M94" s="27"/>
      <c r="N94" s="27"/>
      <c r="O94" s="27">
        <v>1600</v>
      </c>
      <c r="P94" s="27"/>
      <c r="Q94" s="27"/>
      <c r="R94" s="27"/>
      <c r="S94" s="27"/>
    </row>
    <row r="95" spans="1:19" x14ac:dyDescent="0.2">
      <c r="A95" s="27">
        <v>300</v>
      </c>
      <c r="C95" s="27">
        <v>28.6</v>
      </c>
      <c r="D95" s="27"/>
      <c r="E95" s="27"/>
      <c r="F95" s="27">
        <v>72</v>
      </c>
      <c r="G95" s="27"/>
      <c r="H95" s="27"/>
      <c r="I95" s="27">
        <v>3.15</v>
      </c>
      <c r="J95" s="27"/>
      <c r="K95" s="27"/>
      <c r="L95" s="27">
        <v>95</v>
      </c>
      <c r="M95" s="27"/>
      <c r="N95" s="27"/>
      <c r="O95" s="27">
        <v>1850</v>
      </c>
      <c r="P95" s="27"/>
      <c r="Q95" s="27"/>
      <c r="R95" s="27"/>
      <c r="S95" s="27"/>
    </row>
    <row r="97" spans="1:1" x14ac:dyDescent="0.2">
      <c r="A97" s="27">
        <v>1</v>
      </c>
    </row>
    <row r="98" spans="1:1" x14ac:dyDescent="0.2">
      <c r="A98" s="27">
        <v>2</v>
      </c>
    </row>
    <row r="99" spans="1:1" x14ac:dyDescent="0.2">
      <c r="A99" s="27">
        <v>3</v>
      </c>
    </row>
    <row r="100" spans="1:1" x14ac:dyDescent="0.2">
      <c r="A100" s="27">
        <v>4</v>
      </c>
    </row>
    <row r="101" spans="1:1" x14ac:dyDescent="0.2">
      <c r="A101" s="27">
        <v>5</v>
      </c>
    </row>
    <row r="102" spans="1:1" x14ac:dyDescent="0.2">
      <c r="A102" s="27">
        <v>6</v>
      </c>
    </row>
    <row r="103" spans="1:1" x14ac:dyDescent="0.2">
      <c r="A103" s="27">
        <v>7</v>
      </c>
    </row>
    <row r="104" spans="1:1" x14ac:dyDescent="0.2">
      <c r="A104" s="27">
        <v>8</v>
      </c>
    </row>
    <row r="105" spans="1:1" x14ac:dyDescent="0.2">
      <c r="A105" s="27">
        <v>9</v>
      </c>
    </row>
    <row r="106" spans="1:1" x14ac:dyDescent="0.2">
      <c r="A106" s="27">
        <v>10</v>
      </c>
    </row>
    <row r="107" spans="1:1" x14ac:dyDescent="0.2">
      <c r="A107" s="27">
        <v>11</v>
      </c>
    </row>
    <row r="108" spans="1:1" x14ac:dyDescent="0.2">
      <c r="A108" s="27">
        <v>12</v>
      </c>
    </row>
    <row r="109" spans="1:1" x14ac:dyDescent="0.2">
      <c r="A109" s="27">
        <v>13</v>
      </c>
    </row>
    <row r="110" spans="1:1" x14ac:dyDescent="0.2">
      <c r="A110" s="27">
        <v>14</v>
      </c>
    </row>
    <row r="111" spans="1:1" x14ac:dyDescent="0.2">
      <c r="A111" s="27">
        <v>15</v>
      </c>
    </row>
    <row r="112" spans="1:1" x14ac:dyDescent="0.2">
      <c r="A112" s="27">
        <v>16</v>
      </c>
    </row>
    <row r="113" spans="1:1" x14ac:dyDescent="0.2">
      <c r="A113" s="27">
        <v>17</v>
      </c>
    </row>
    <row r="114" spans="1:1" x14ac:dyDescent="0.2">
      <c r="A114" s="27">
        <v>18</v>
      </c>
    </row>
    <row r="115" spans="1:1" x14ac:dyDescent="0.2">
      <c r="A115" s="27">
        <v>19</v>
      </c>
    </row>
    <row r="116" spans="1:1" x14ac:dyDescent="0.2">
      <c r="A116" s="27">
        <v>20</v>
      </c>
    </row>
    <row r="117" spans="1:1" x14ac:dyDescent="0.2">
      <c r="A117" s="27">
        <v>21</v>
      </c>
    </row>
    <row r="118" spans="1:1" x14ac:dyDescent="0.2">
      <c r="A118" s="27">
        <v>22</v>
      </c>
    </row>
    <row r="119" spans="1:1" x14ac:dyDescent="0.2">
      <c r="A119" s="27">
        <v>23</v>
      </c>
    </row>
    <row r="120" spans="1:1" x14ac:dyDescent="0.2">
      <c r="A120" s="27">
        <v>24</v>
      </c>
    </row>
    <row r="121" spans="1:1" x14ac:dyDescent="0.2">
      <c r="A121" s="27">
        <v>25</v>
      </c>
    </row>
    <row r="122" spans="1:1" x14ac:dyDescent="0.2">
      <c r="A122" s="27">
        <v>26</v>
      </c>
    </row>
    <row r="123" spans="1:1" x14ac:dyDescent="0.2">
      <c r="A123" s="27">
        <v>27</v>
      </c>
    </row>
    <row r="124" spans="1:1" x14ac:dyDescent="0.2">
      <c r="A124" s="27">
        <v>28</v>
      </c>
    </row>
    <row r="125" spans="1:1" x14ac:dyDescent="0.2">
      <c r="A125" s="27">
        <v>29</v>
      </c>
    </row>
    <row r="126" spans="1:1" x14ac:dyDescent="0.2">
      <c r="A126" s="27">
        <v>30</v>
      </c>
    </row>
    <row r="127" spans="1:1" x14ac:dyDescent="0.2">
      <c r="A127" s="27">
        <v>31</v>
      </c>
    </row>
    <row r="128" spans="1:1" x14ac:dyDescent="0.2">
      <c r="A128" s="27">
        <v>32</v>
      </c>
    </row>
    <row r="129" spans="1:1" x14ac:dyDescent="0.2">
      <c r="A129" s="27">
        <v>33</v>
      </c>
    </row>
    <row r="130" spans="1:1" x14ac:dyDescent="0.2">
      <c r="A130" s="27">
        <v>34</v>
      </c>
    </row>
    <row r="131" spans="1:1" x14ac:dyDescent="0.2">
      <c r="A131" s="27">
        <v>35</v>
      </c>
    </row>
    <row r="132" spans="1:1" x14ac:dyDescent="0.2">
      <c r="A132" s="27">
        <v>36</v>
      </c>
    </row>
    <row r="133" spans="1:1" x14ac:dyDescent="0.2">
      <c r="A133" s="27">
        <v>37</v>
      </c>
    </row>
    <row r="134" spans="1:1" x14ac:dyDescent="0.2">
      <c r="A134" s="27">
        <v>38</v>
      </c>
    </row>
    <row r="135" spans="1:1" x14ac:dyDescent="0.2">
      <c r="A135" s="27">
        <v>39</v>
      </c>
    </row>
    <row r="136" spans="1:1" x14ac:dyDescent="0.2">
      <c r="A136" s="27">
        <v>40</v>
      </c>
    </row>
    <row r="137" spans="1:1" x14ac:dyDescent="0.2">
      <c r="A137" s="27">
        <v>41</v>
      </c>
    </row>
    <row r="138" spans="1:1" x14ac:dyDescent="0.2">
      <c r="A138" s="27">
        <v>42</v>
      </c>
    </row>
    <row r="139" spans="1:1" x14ac:dyDescent="0.2">
      <c r="A139" s="27">
        <v>43</v>
      </c>
    </row>
    <row r="140" spans="1:1" x14ac:dyDescent="0.2">
      <c r="A140" s="27">
        <v>44</v>
      </c>
    </row>
    <row r="141" spans="1:1" x14ac:dyDescent="0.2">
      <c r="A141" s="27">
        <v>45</v>
      </c>
    </row>
    <row r="142" spans="1:1" x14ac:dyDescent="0.2">
      <c r="A142" s="27">
        <v>46</v>
      </c>
    </row>
    <row r="143" spans="1:1" x14ac:dyDescent="0.2">
      <c r="A143" s="27">
        <v>47</v>
      </c>
    </row>
    <row r="144" spans="1:1" x14ac:dyDescent="0.2">
      <c r="A144" s="27">
        <v>48</v>
      </c>
    </row>
    <row r="145" spans="1:1" x14ac:dyDescent="0.2">
      <c r="A145" s="27">
        <v>49</v>
      </c>
    </row>
    <row r="146" spans="1:1" x14ac:dyDescent="0.2">
      <c r="A146" s="27">
        <v>50</v>
      </c>
    </row>
    <row r="147" spans="1:1" x14ac:dyDescent="0.2">
      <c r="A147" s="27">
        <v>51</v>
      </c>
    </row>
    <row r="148" spans="1:1" x14ac:dyDescent="0.2">
      <c r="A148" s="27">
        <v>52</v>
      </c>
    </row>
    <row r="149" spans="1:1" x14ac:dyDescent="0.2">
      <c r="A149" s="27">
        <v>53</v>
      </c>
    </row>
    <row r="150" spans="1:1" x14ac:dyDescent="0.2">
      <c r="A150" s="27">
        <v>54</v>
      </c>
    </row>
    <row r="151" spans="1:1" x14ac:dyDescent="0.2">
      <c r="A151" s="27">
        <v>55</v>
      </c>
    </row>
    <row r="152" spans="1:1" x14ac:dyDescent="0.2">
      <c r="A152" s="27">
        <v>56</v>
      </c>
    </row>
    <row r="153" spans="1:1" x14ac:dyDescent="0.2">
      <c r="A153" s="27">
        <v>57</v>
      </c>
    </row>
    <row r="154" spans="1:1" x14ac:dyDescent="0.2">
      <c r="A154" s="27">
        <v>58</v>
      </c>
    </row>
    <row r="155" spans="1:1" x14ac:dyDescent="0.2">
      <c r="A155" s="27">
        <v>59</v>
      </c>
    </row>
    <row r="156" spans="1:1" x14ac:dyDescent="0.2">
      <c r="A156" s="27">
        <v>60</v>
      </c>
    </row>
    <row r="157" spans="1:1" x14ac:dyDescent="0.2">
      <c r="A157" s="27">
        <v>61</v>
      </c>
    </row>
    <row r="158" spans="1:1" x14ac:dyDescent="0.2">
      <c r="A158" s="27">
        <v>62</v>
      </c>
    </row>
    <row r="159" spans="1:1" x14ac:dyDescent="0.2">
      <c r="A159" s="27">
        <v>63</v>
      </c>
    </row>
    <row r="160" spans="1:1" x14ac:dyDescent="0.2">
      <c r="A160" s="27">
        <v>64</v>
      </c>
    </row>
    <row r="161" spans="1:1" x14ac:dyDescent="0.2">
      <c r="A161" s="27">
        <v>65</v>
      </c>
    </row>
    <row r="162" spans="1:1" x14ac:dyDescent="0.2">
      <c r="A162" s="27">
        <v>66</v>
      </c>
    </row>
    <row r="163" spans="1:1" x14ac:dyDescent="0.2">
      <c r="A163" s="27">
        <v>67</v>
      </c>
    </row>
    <row r="164" spans="1:1" x14ac:dyDescent="0.2">
      <c r="A164" s="27">
        <v>68</v>
      </c>
    </row>
    <row r="165" spans="1:1" x14ac:dyDescent="0.2">
      <c r="A165" s="27">
        <v>69</v>
      </c>
    </row>
    <row r="166" spans="1:1" x14ac:dyDescent="0.2">
      <c r="A166" s="27">
        <v>70</v>
      </c>
    </row>
    <row r="167" spans="1:1" x14ac:dyDescent="0.2">
      <c r="A167" s="27">
        <v>71</v>
      </c>
    </row>
    <row r="168" spans="1:1" x14ac:dyDescent="0.2">
      <c r="A168" s="27">
        <v>72</v>
      </c>
    </row>
    <row r="169" spans="1:1" x14ac:dyDescent="0.2">
      <c r="A169" s="27">
        <v>73</v>
      </c>
    </row>
    <row r="170" spans="1:1" x14ac:dyDescent="0.2">
      <c r="A170" s="27">
        <v>74</v>
      </c>
    </row>
    <row r="171" spans="1:1" x14ac:dyDescent="0.2">
      <c r="A171" s="27">
        <v>75</v>
      </c>
    </row>
    <row r="172" spans="1:1" x14ac:dyDescent="0.2">
      <c r="A172" s="27">
        <v>76</v>
      </c>
    </row>
    <row r="173" spans="1:1" x14ac:dyDescent="0.2">
      <c r="A173" s="27">
        <v>77</v>
      </c>
    </row>
    <row r="174" spans="1:1" x14ac:dyDescent="0.2">
      <c r="A174" s="27">
        <v>78</v>
      </c>
    </row>
    <row r="175" spans="1:1" x14ac:dyDescent="0.2">
      <c r="A175" s="27">
        <v>79</v>
      </c>
    </row>
    <row r="176" spans="1:1" x14ac:dyDescent="0.2">
      <c r="A176" s="27">
        <v>80</v>
      </c>
    </row>
    <row r="177" spans="1:1" x14ac:dyDescent="0.2">
      <c r="A177" s="27">
        <v>81</v>
      </c>
    </row>
    <row r="178" spans="1:1" x14ac:dyDescent="0.2">
      <c r="A178" s="27">
        <v>82</v>
      </c>
    </row>
    <row r="179" spans="1:1" x14ac:dyDescent="0.2">
      <c r="A179" s="27">
        <v>83</v>
      </c>
    </row>
    <row r="180" spans="1:1" x14ac:dyDescent="0.2">
      <c r="A180" s="27">
        <v>84</v>
      </c>
    </row>
    <row r="181" spans="1:1" x14ac:dyDescent="0.2">
      <c r="A181" s="27">
        <v>85</v>
      </c>
    </row>
    <row r="182" spans="1:1" x14ac:dyDescent="0.2">
      <c r="A182" s="27">
        <v>86</v>
      </c>
    </row>
    <row r="183" spans="1:1" x14ac:dyDescent="0.2">
      <c r="A183" s="27">
        <v>87</v>
      </c>
    </row>
    <row r="184" spans="1:1" x14ac:dyDescent="0.2">
      <c r="A184" s="27">
        <v>88</v>
      </c>
    </row>
    <row r="185" spans="1:1" x14ac:dyDescent="0.2">
      <c r="A185" s="27">
        <v>89</v>
      </c>
    </row>
    <row r="186" spans="1:1" x14ac:dyDescent="0.2">
      <c r="A186" s="27">
        <v>90</v>
      </c>
    </row>
    <row r="187" spans="1:1" x14ac:dyDescent="0.2">
      <c r="A187" s="27">
        <v>91</v>
      </c>
    </row>
    <row r="188" spans="1:1" x14ac:dyDescent="0.2">
      <c r="A188" s="27">
        <v>92</v>
      </c>
    </row>
    <row r="189" spans="1:1" x14ac:dyDescent="0.2">
      <c r="A189" s="27">
        <v>93</v>
      </c>
    </row>
    <row r="190" spans="1:1" x14ac:dyDescent="0.2">
      <c r="A190" s="27">
        <v>94</v>
      </c>
    </row>
    <row r="191" spans="1:1" x14ac:dyDescent="0.2">
      <c r="A191" s="27">
        <v>95</v>
      </c>
    </row>
    <row r="192" spans="1:1" x14ac:dyDescent="0.2">
      <c r="A192" s="27">
        <v>96</v>
      </c>
    </row>
    <row r="193" spans="1:1" x14ac:dyDescent="0.2">
      <c r="A193" s="27">
        <v>97</v>
      </c>
    </row>
    <row r="194" spans="1:1" x14ac:dyDescent="0.2">
      <c r="A194" s="27">
        <v>98</v>
      </c>
    </row>
    <row r="195" spans="1:1" x14ac:dyDescent="0.2">
      <c r="A195" s="27">
        <v>99</v>
      </c>
    </row>
    <row r="196" spans="1:1" x14ac:dyDescent="0.2">
      <c r="A196" s="27">
        <v>100</v>
      </c>
    </row>
    <row r="197" spans="1:1" x14ac:dyDescent="0.2">
      <c r="A197" s="27"/>
    </row>
  </sheetData>
  <sheetProtection algorithmName="SHA-512" hashValue="pNRjIX1/GxxHDCqsKNNS9Gzf5WEmlo38Svr7furx24NA0fJ32YRxwzfbPFp9cP9P/+PLazUA4P/3rBj+vDe83g==" saltValue="4dXEcQR/7g3ltFNRIEsEnQ==" spinCount="100000" sheet="1" objects="1" scenarios="1" selectLockedCells="1" selectUnlockedCells="1"/>
  <customSheetViews>
    <customSheetView guid="{AA22313F-40A1-444E-9115-9C808CBE1FCA}" scale="70" topLeftCell="A31">
      <selection activeCell="M22" sqref="M22"/>
      <pageMargins left="0.7" right="0.7" top="0.75" bottom="0.75" header="0.3" footer="0.3"/>
      <pageSetup orientation="portrait" r:id="rId1"/>
    </customSheetView>
    <customSheetView guid="{4E5CA08E-3683-4D14-8408-F5D4B305651C}" scale="70" topLeftCell="A31">
      <selection activeCell="M22" sqref="M22"/>
      <pageMargins left="0.7" right="0.7" top="0.75" bottom="0.75" header="0.3" footer="0.3"/>
      <pageSetup orientation="portrait" r:id="rId2"/>
    </customSheetView>
  </customSheetViews>
  <mergeCells count="27">
    <mergeCell ref="A84:P85"/>
    <mergeCell ref="A67:P68"/>
    <mergeCell ref="B51:J52"/>
    <mergeCell ref="M53:N53"/>
    <mergeCell ref="O53:P53"/>
    <mergeCell ref="Q53:R53"/>
    <mergeCell ref="S53:T53"/>
    <mergeCell ref="U53:V53"/>
    <mergeCell ref="C53:D53"/>
    <mergeCell ref="E53:F53"/>
    <mergeCell ref="G53:H53"/>
    <mergeCell ref="I53:J53"/>
    <mergeCell ref="K53:L53"/>
    <mergeCell ref="A1:C2"/>
    <mergeCell ref="A22:C23"/>
    <mergeCell ref="E1:G2"/>
    <mergeCell ref="B35:J36"/>
    <mergeCell ref="U37:V37"/>
    <mergeCell ref="S37:T37"/>
    <mergeCell ref="Q37:R37"/>
    <mergeCell ref="O37:P37"/>
    <mergeCell ref="M37:N37"/>
    <mergeCell ref="K37:L37"/>
    <mergeCell ref="I37:J37"/>
    <mergeCell ref="G37:H37"/>
    <mergeCell ref="E37:F37"/>
    <mergeCell ref="C37:D37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37"/>
  <sheetViews>
    <sheetView tabSelected="1" view="pageBreakPreview" topLeftCell="A19" zoomScale="145" zoomScaleNormal="100" zoomScaleSheetLayoutView="145" workbookViewId="0">
      <selection activeCell="S1" sqref="S1:S34"/>
    </sheetView>
  </sheetViews>
  <sheetFormatPr defaultColWidth="8.875" defaultRowHeight="15" x14ac:dyDescent="0.2"/>
  <cols>
    <col min="1" max="1" width="8.875" style="1"/>
    <col min="2" max="2" width="21.7890625" style="1" customWidth="1"/>
    <col min="3" max="3" width="5.6484375" style="1" customWidth="1"/>
    <col min="4" max="4" width="8.47265625" style="1" customWidth="1"/>
    <col min="5" max="5" width="12.23828125" style="1" customWidth="1"/>
    <col min="6" max="6" width="6.1875" style="1" customWidth="1"/>
    <col min="7" max="7" width="6.3203125" style="1" customWidth="1"/>
    <col min="8" max="8" width="8.875" style="1" hidden="1" customWidth="1"/>
    <col min="9" max="10" width="10.625" style="1" hidden="1" customWidth="1"/>
    <col min="11" max="11" width="10.76171875" style="1" hidden="1" customWidth="1"/>
    <col min="12" max="12" width="4.4375" style="1" hidden="1" customWidth="1"/>
    <col min="13" max="13" width="8.7421875" style="1" customWidth="1"/>
    <col min="14" max="14" width="8.47265625" style="1" customWidth="1"/>
    <col min="15" max="15" width="12.375" style="1" customWidth="1"/>
    <col min="16" max="16" width="8.875" style="1" hidden="1" customWidth="1"/>
    <col min="17" max="17" width="4.70703125" style="1" hidden="1" customWidth="1"/>
    <col min="18" max="18" width="8.875" style="1" hidden="1" customWidth="1"/>
    <col min="19" max="19" width="10.76171875" style="1" customWidth="1"/>
    <col min="20" max="16384" width="8.875" style="1"/>
  </cols>
  <sheetData>
    <row r="1" spans="1:19" ht="19.149999999999999" customHeight="1" x14ac:dyDescent="0.2">
      <c r="A1" s="45"/>
      <c r="B1" s="46" t="s">
        <v>50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S1" s="45"/>
    </row>
    <row r="2" spans="1:19" ht="70.5" customHeight="1" x14ac:dyDescent="0.2">
      <c r="A2" s="45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S2" s="45"/>
    </row>
    <row r="3" spans="1:19" ht="27" customHeight="1" x14ac:dyDescent="0.2">
      <c r="A3" s="45"/>
      <c r="B3" s="2" t="s">
        <v>33</v>
      </c>
      <c r="C3" s="48" t="str">
        <f>IF(ISNA(H35),"Incorrect cable sizes ","Please fill in the cells in white")</f>
        <v>Please fill in the cells in white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S3" s="45"/>
    </row>
    <row r="4" spans="1:19" ht="14.45" customHeight="1" x14ac:dyDescent="0.2">
      <c r="A4" s="45"/>
      <c r="B4" s="37" t="s">
        <v>26</v>
      </c>
      <c r="C4" s="61" t="s">
        <v>5</v>
      </c>
      <c r="D4" s="62"/>
      <c r="E4" s="37" t="s">
        <v>11</v>
      </c>
      <c r="F4" s="37"/>
      <c r="G4" s="37"/>
      <c r="H4" s="37"/>
      <c r="I4" s="37"/>
      <c r="J4" s="37"/>
      <c r="K4" s="37"/>
      <c r="L4" s="80"/>
      <c r="M4" s="37" t="s">
        <v>29</v>
      </c>
      <c r="N4" s="37"/>
      <c r="O4" s="37"/>
      <c r="S4" s="45"/>
    </row>
    <row r="5" spans="1:19" ht="15" customHeight="1" x14ac:dyDescent="0.2">
      <c r="A5" s="45"/>
      <c r="B5" s="37"/>
      <c r="C5" s="63"/>
      <c r="D5" s="64"/>
      <c r="E5" s="37"/>
      <c r="F5" s="37"/>
      <c r="G5" s="37"/>
      <c r="H5" s="37"/>
      <c r="I5" s="37"/>
      <c r="J5" s="37"/>
      <c r="K5" s="37"/>
      <c r="L5" s="80"/>
      <c r="M5" s="37"/>
      <c r="N5" s="37"/>
      <c r="O5" s="37"/>
      <c r="S5" s="45"/>
    </row>
    <row r="6" spans="1:19" ht="8.4499999999999993" hidden="1" customHeight="1" x14ac:dyDescent="0.2">
      <c r="A6" s="45"/>
      <c r="B6" s="37"/>
      <c r="C6" s="65"/>
      <c r="D6" s="66"/>
      <c r="E6" s="37"/>
      <c r="F6" s="37"/>
      <c r="G6" s="37"/>
      <c r="H6" s="37"/>
      <c r="I6" s="37"/>
      <c r="J6" s="37"/>
      <c r="K6" s="37"/>
      <c r="L6" s="80"/>
      <c r="M6" s="37"/>
      <c r="N6" s="37"/>
      <c r="O6" s="37"/>
      <c r="S6" s="45"/>
    </row>
    <row r="7" spans="1:19" ht="14.45" customHeight="1" x14ac:dyDescent="0.2">
      <c r="A7" s="45"/>
      <c r="B7" s="38" t="s">
        <v>35</v>
      </c>
      <c r="C7" s="55" t="s">
        <v>36</v>
      </c>
      <c r="D7" s="56"/>
      <c r="E7" s="39" t="s">
        <v>37</v>
      </c>
      <c r="F7" s="39"/>
      <c r="G7" s="39"/>
      <c r="H7" s="38" t="s">
        <v>8</v>
      </c>
      <c r="I7" s="38" t="s">
        <v>34</v>
      </c>
      <c r="J7" s="38" t="s">
        <v>10</v>
      </c>
      <c r="K7" s="38" t="s">
        <v>9</v>
      </c>
      <c r="L7" s="79"/>
      <c r="M7" s="38" t="s">
        <v>38</v>
      </c>
      <c r="N7" s="38"/>
      <c r="O7" s="38"/>
      <c r="S7" s="45"/>
    </row>
    <row r="8" spans="1:19" x14ac:dyDescent="0.2">
      <c r="A8" s="45"/>
      <c r="B8" s="39"/>
      <c r="C8" s="57"/>
      <c r="D8" s="58"/>
      <c r="E8" s="39"/>
      <c r="F8" s="39"/>
      <c r="G8" s="39"/>
      <c r="H8" s="39"/>
      <c r="I8" s="39"/>
      <c r="J8" s="39"/>
      <c r="K8" s="39"/>
      <c r="L8" s="79"/>
      <c r="M8" s="38"/>
      <c r="N8" s="38"/>
      <c r="O8" s="38"/>
      <c r="S8" s="45"/>
    </row>
    <row r="9" spans="1:19" ht="25.9" customHeight="1" x14ac:dyDescent="0.2">
      <c r="A9" s="45"/>
      <c r="B9" s="39"/>
      <c r="C9" s="59"/>
      <c r="D9" s="60"/>
      <c r="E9" s="39"/>
      <c r="F9" s="39"/>
      <c r="G9" s="39"/>
      <c r="H9" s="39"/>
      <c r="I9" s="39"/>
      <c r="J9" s="39"/>
      <c r="K9" s="39"/>
      <c r="L9" s="79"/>
      <c r="M9" s="38"/>
      <c r="N9" s="38"/>
      <c r="O9" s="38"/>
      <c r="S9" s="45"/>
    </row>
    <row r="10" spans="1:19" x14ac:dyDescent="0.2">
      <c r="A10" s="45"/>
      <c r="B10" s="40" t="s">
        <v>28</v>
      </c>
      <c r="C10" s="3">
        <v>1</v>
      </c>
      <c r="D10" s="30">
        <v>1</v>
      </c>
      <c r="E10" s="31" t="s">
        <v>32</v>
      </c>
      <c r="F10" s="30">
        <v>50</v>
      </c>
      <c r="G10" s="5" t="s">
        <v>4</v>
      </c>
      <c r="H10" s="4">
        <f>IF(AND($B$10="LV",E10="SINGLE CORE"),VLOOKUP('Cable TRAY VER.1.1'!F10,Sheet1!$E$4:$F$23,2,0),IF(AND($B$10="LV",E10="MULTI CORE"),VLOOKUP(F10,Sheet1!$A$4:$B$20,2,0),IF(AND('Cable TRAY VER.1.1'!$B$10="MV",'Cable TRAY VER.1.1'!E10="SINGLE CORE"),VLOOKUP('Cable TRAY VER.1.1'!F10,Sheet1!$A$70:$L$81,12,0),IF(AND('Cable TRAY VER.1.1'!$B$10="MV",'Cable TRAY VER.1.1'!E10="MULTI CORE"),VLOOKUP('Cable TRAY VER.1.1'!F10,Sheet1!$A$87:$L$95,12,0),FALSE))))</f>
        <v>64</v>
      </c>
      <c r="I10" s="4">
        <f>H10*D10</f>
        <v>64</v>
      </c>
      <c r="J10" s="4">
        <f>3.14*H10*H10/4</f>
        <v>3215.36</v>
      </c>
      <c r="K10" s="6">
        <f>J10*D10</f>
        <v>3215.36</v>
      </c>
      <c r="L10" s="7"/>
      <c r="M10" s="77" t="s">
        <v>6</v>
      </c>
      <c r="N10" s="78"/>
      <c r="O10" s="78" t="s">
        <v>7</v>
      </c>
      <c r="S10" s="45"/>
    </row>
    <row r="11" spans="1:19" x14ac:dyDescent="0.2">
      <c r="A11" s="45"/>
      <c r="B11" s="41"/>
      <c r="C11" s="8">
        <v>2</v>
      </c>
      <c r="D11" s="28">
        <v>100</v>
      </c>
      <c r="E11" s="29" t="s">
        <v>32</v>
      </c>
      <c r="F11" s="28">
        <v>300</v>
      </c>
      <c r="G11" s="10" t="s">
        <v>4</v>
      </c>
      <c r="H11" s="9">
        <f>IF(AND($B$10="LV",E11="SINGLE CORE"),VLOOKUP('Cable TRAY VER.1.1'!F11,Sheet1!$E$4:$F$23,2,0),IF(AND($B$10="LV",E11="MULTI CORE"),VLOOKUP(F11,Sheet1!$A$4:$B$20,2,0),IF(AND('Cable TRAY VER.1.1'!$B$10="MV",'Cable TRAY VER.1.1'!E11="SINGLE CORE"),VLOOKUP('Cable TRAY VER.1.1'!F11,Sheet1!$A$70:$L$81,12,0),IF(AND('Cable TRAY VER.1.1'!$B$10="MV",'Cable TRAY VER.1.1'!E11="MULTI CORE"),VLOOKUP('Cable TRAY VER.1.1'!F11,Sheet1!$A$87:$L$95,12,0),FALSE))))</f>
        <v>95</v>
      </c>
      <c r="I11" s="9">
        <f t="shared" ref="I11:I34" si="0">H11*D11</f>
        <v>9500</v>
      </c>
      <c r="J11" s="9">
        <f t="shared" ref="J11:J34" si="1">3.14*H11*H11/4</f>
        <v>7084.625</v>
      </c>
      <c r="K11" s="11">
        <f t="shared" ref="K11:K34" si="2">J11*D11</f>
        <v>708462.5</v>
      </c>
      <c r="L11" s="12"/>
      <c r="M11" s="78"/>
      <c r="N11" s="78"/>
      <c r="O11" s="78"/>
      <c r="S11" s="45"/>
    </row>
    <row r="12" spans="1:19" x14ac:dyDescent="0.2">
      <c r="A12" s="45"/>
      <c r="B12" s="49"/>
      <c r="C12" s="8">
        <v>3</v>
      </c>
      <c r="D12" s="28"/>
      <c r="E12" s="29" t="s">
        <v>30</v>
      </c>
      <c r="F12" s="28">
        <v>50</v>
      </c>
      <c r="G12" s="10" t="s">
        <v>4</v>
      </c>
      <c r="H12" s="9">
        <f>IF(AND($B$10="LV",E12="SINGLE CORE"),VLOOKUP('Cable TRAY VER.1.1'!F12,Sheet1!$E$4:$F$23,2,0),IF(AND($B$10="LV",E12="MULTI CORE"),VLOOKUP(F12,Sheet1!$A$4:$B$20,2,0),IF(AND('Cable TRAY VER.1.1'!$B$10="MV",'Cable TRAY VER.1.1'!E12="SINGLE CORE"),VLOOKUP('Cable TRAY VER.1.1'!F12,Sheet1!$A$70:$L$81,12,0),IF(AND('Cable TRAY VER.1.1'!$B$10="MV",'Cable TRAY VER.1.1'!E12="MULTI CORE"),VLOOKUP('Cable TRAY VER.1.1'!F12,Sheet1!$A$87:$L$95,12,0),FALSE))))</f>
        <v>36</v>
      </c>
      <c r="I12" s="9">
        <f t="shared" si="0"/>
        <v>0</v>
      </c>
      <c r="J12" s="9">
        <f t="shared" si="1"/>
        <v>1017.36</v>
      </c>
      <c r="K12" s="11">
        <f t="shared" si="2"/>
        <v>0</v>
      </c>
      <c r="L12" s="12"/>
      <c r="M12" s="78"/>
      <c r="N12" s="78"/>
      <c r="O12" s="78"/>
      <c r="P12" s="13"/>
      <c r="S12" s="45"/>
    </row>
    <row r="13" spans="1:19" x14ac:dyDescent="0.2">
      <c r="A13" s="45"/>
      <c r="B13" s="49"/>
      <c r="C13" s="8">
        <v>4</v>
      </c>
      <c r="D13" s="28">
        <v>1</v>
      </c>
      <c r="E13" s="29" t="s">
        <v>30</v>
      </c>
      <c r="F13" s="28">
        <v>400</v>
      </c>
      <c r="G13" s="10" t="s">
        <v>4</v>
      </c>
      <c r="H13" s="9">
        <f>IF(AND($B$10="LV",E13="SINGLE CORE"),VLOOKUP('Cable TRAY VER.1.1'!F13,Sheet1!$E$4:$F$23,2,0),IF(AND($B$10="LV",E13="MULTI CORE"),VLOOKUP(F13,Sheet1!$A$4:$B$20,2,0),IF(AND('Cable TRAY VER.1.1'!$B$10="MV",'Cable TRAY VER.1.1'!E13="SINGLE CORE"),VLOOKUP('Cable TRAY VER.1.1'!F13,Sheet1!$A$70:$L$81,12,0),IF(AND('Cable TRAY VER.1.1'!$B$10="MV",'Cable TRAY VER.1.1'!E13="MULTI CORE"),VLOOKUP('Cable TRAY VER.1.1'!F13,Sheet1!$A$87:$L$95,12,0),FALSE))))</f>
        <v>54</v>
      </c>
      <c r="I13" s="9">
        <f t="shared" si="0"/>
        <v>54</v>
      </c>
      <c r="J13" s="9">
        <f t="shared" si="1"/>
        <v>2289.06</v>
      </c>
      <c r="K13" s="11">
        <f t="shared" si="2"/>
        <v>2289.06</v>
      </c>
      <c r="L13" s="12"/>
      <c r="M13" s="69" t="str">
        <f>IF(B10="LV",Q13,Q14)</f>
        <v>More than 10 trays too much</v>
      </c>
      <c r="N13" s="70"/>
      <c r="O13" s="75">
        <f>IF(B10="LV",P13,P14)</f>
        <v>900</v>
      </c>
      <c r="P13" s="1">
        <f>IF(AND(MAX(F10:F34)&lt;95,K35&lt;Sheet1!C38),50,IF(AND(MAX(F10:F34)&lt;95,K35&lt;Sheet1!C39),100,IF(AND(MAX(F10:F34)&lt;95,K35&lt;Sheet1!C40),150,IF(AND(MAX(F10:F34)&lt;95,K35&lt;Sheet1!C41),200,IF(AND(MAX(F10:F34)&lt;95,K35&lt;Sheet1!C42),225,IF(AND(MAX(F10:F34)&lt;95,K35&lt;Sheet1!C43),300,IF(AND(MAX(F10:F34)&lt;95,K35&lt;Sheet1!C44),400,IF(AND(MAX(F10:F34)&lt;95,K35&lt;Sheet1!C45),450,IF(AND(MAX(F10:F34)&lt;95,K35&lt;Sheet1!C46),500,IF(AND(MAX(F10:F34)&lt;95,K35&lt;Sheet1!C47),600,IF(AND(MAX(F10:F34)&lt;95,K35&lt;Sheet1!C48),750,IF(AND(MAX(F10:F34)&lt;95,K35&lt;Sheet1!C49),900,IF(AND(MAX(F10:F34)&lt;95,Sheet1!C49&lt;K35),900,IF(AND(95&lt;=MAX(F10:F34),K35&lt;Sheet1!D38),50,IF(AND(95&lt;=MAX(F10:F34),K35&lt;Sheet1!D39),100,IF(AND(95&lt;=MAX(F10:F34),K35&lt;Sheet1!D40),150,IF(AND(95&lt;=MAX(F10:F34),K35&lt;Sheet1!D41),200,IF(AND(95&lt;=MAX(F10:F34),K35&lt;Sheet1!D42),225,IF(AND(95&lt;=MAX(F10:F34),K35&lt;Sheet1!D43),300,IF(AND(95&lt;=MAX(F10:F34),K35&lt;Sheet1!D44),400,IF(AND(95&lt;=MAX(F10:F34),K35&lt;Sheet1!D45),450,IF(AND(95&lt;=MAX(F10:F34),K35&lt;Sheet1!D46),500,IF(AND(95&lt;=MAX(F10:F34),K35&lt;Sheet1!D47),600,IF(AND(95&lt;=MAX(F10:F34),K35&lt;Sheet1!D48),750,IF(AND(95&lt;=MAX(F10:F34),K35&lt;Sheet1!D49),900,IF(AND(95&lt;=MAX(F10:F34),Sheet1!D49&lt;=K35),900,1))))))))))))))))))))))))))</f>
        <v>900</v>
      </c>
      <c r="Q13" s="1" t="str">
        <f>IF(AND(MAX(F10:F34)&lt;95,K35&lt;Sheet1!C49),1,IF(AND(MAX(F10:F34)&lt;95,K35&lt;Sheet1!E49),2,IF(AND(MAX(F10:F34)&lt;95,K35&lt;Sheet1!G49),3,IF(AND(MAX(F10:F34)&lt;95,K35&lt;Sheet1!I49),4,IF(AND(MAX(F10:F34)&lt;95,K35&lt;Sheet1!K49),5,IF(AND(MAX(F10:F34)&lt;95,K35&lt;Sheet1!M49),6,IF(AND(MAX(F10:F34)&lt;95,K35&lt;Sheet1!O49),7,IF(AND(MAX(F10:F34)&lt;95,K35&lt;Sheet1!Q49),8,IF(AND(MAX(F10:F34)&lt;95,K35&lt;Sheet1!S49),9,IF(AND(MAX(F10:F34)&lt;95,K35&lt;Sheet1!U49),10,IF(AND(95&lt;=MAX(F10:F34),K35&lt;Sheet1!D49),1,IF(AND(95&lt;=MAX(F10:F34),K35&lt;Sheet1!F49),2,IF(AND(95&lt;=MAX(F10:F34),K35&lt;Sheet1!H49),3,IF(AND(95&lt;=MAX(F10:F34),K35&lt;Sheet1!J49),4,IF(AND(95&lt;=MAX(F10:F34),K35&lt;Sheet1!L49),5,IF(AND(95&lt;=MAX(F10:F34),K35&lt;Sheet1!N49),6,IF(AND(95&lt;=MAX(F10:F34),K35&lt;Sheet1!P49),7,IF(AND(95&lt;=MAX(F10:F34),K35&lt;Sheet1!R49),8,IF(AND(95&lt;=MAX(F10:F34),K35&lt;Sheet1!T49),9,IF(AND(95&lt;=MAX(F10:F34),K35&lt;Sheet1!V49),10,"More than 10 trays too much"))))))))))))))))))))</f>
        <v>More than 10 trays too much</v>
      </c>
      <c r="R13" s="14" t="s">
        <v>27</v>
      </c>
      <c r="S13" s="45"/>
    </row>
    <row r="14" spans="1:19" x14ac:dyDescent="0.2">
      <c r="A14" s="45"/>
      <c r="B14" s="49"/>
      <c r="C14" s="8">
        <v>5</v>
      </c>
      <c r="D14" s="28"/>
      <c r="E14" s="29" t="s">
        <v>30</v>
      </c>
      <c r="F14" s="28">
        <v>50</v>
      </c>
      <c r="G14" s="10" t="s">
        <v>4</v>
      </c>
      <c r="H14" s="9">
        <f>IF(AND($B$10="LV",E14="SINGLE CORE"),VLOOKUP('Cable TRAY VER.1.1'!F14,Sheet1!$E$4:$F$23,2,0),IF(AND($B$10="LV",E14="MULTI CORE"),VLOOKUP(F14,Sheet1!$A$4:$B$20,2,0),IF(AND('Cable TRAY VER.1.1'!$B$10="MV",'Cable TRAY VER.1.1'!E14="SINGLE CORE"),VLOOKUP('Cable TRAY VER.1.1'!F14,Sheet1!$A$70:$L$81,12,0),IF(AND('Cable TRAY VER.1.1'!$B$10="MV",'Cable TRAY VER.1.1'!E14="MULTI CORE"),VLOOKUP('Cable TRAY VER.1.1'!F14,Sheet1!$A$87:$L$95,12,0),FALSE))))</f>
        <v>36</v>
      </c>
      <c r="I14" s="9">
        <f t="shared" si="0"/>
        <v>0</v>
      </c>
      <c r="J14" s="9">
        <f t="shared" si="1"/>
        <v>1017.36</v>
      </c>
      <c r="K14" s="11">
        <f t="shared" si="2"/>
        <v>0</v>
      </c>
      <c r="L14" s="12"/>
      <c r="M14" s="71"/>
      <c r="N14" s="72"/>
      <c r="O14" s="76"/>
      <c r="P14" s="1">
        <f>IF(I35&lt;50,50,IF(I35&lt;100,100,IF(I35&lt;150,150,IF(I35&lt;200,200,IF(I35&lt;225,225,IF(I35&lt;300,300,IF(I35&lt;400,400,IF(I35&lt;450,450,IF(I35&lt;500,500,IF(I35&lt;600,600,IF(I35&lt;750,750,IF(I35&lt;900,900,IF(900&lt;=I35,900,FALSE)))))))))))))</f>
        <v>900</v>
      </c>
      <c r="Q14" s="1" t="str">
        <f>IF(I35&lt;900,1,IF(I35&lt;1800,2,IF(I35&lt;2700,3,IF(I35&lt;3600,4,IF(I35&lt;4500,5,IF(I35&lt;5400,6,IF(I35&lt;6300,7,IF(I35&lt;7200,8,IF(I35&lt;8100,9,IF(I35&lt;9000,10,"More than 10 trays too much"))))))))))</f>
        <v>More than 10 trays too much</v>
      </c>
      <c r="R14" s="14" t="s">
        <v>28</v>
      </c>
      <c r="S14" s="45"/>
    </row>
    <row r="15" spans="1:19" x14ac:dyDescent="0.2">
      <c r="A15" s="45"/>
      <c r="B15" s="49"/>
      <c r="C15" s="8">
        <v>6</v>
      </c>
      <c r="D15" s="28"/>
      <c r="E15" s="29" t="s">
        <v>30</v>
      </c>
      <c r="F15" s="28">
        <v>50</v>
      </c>
      <c r="G15" s="10" t="s">
        <v>4</v>
      </c>
      <c r="H15" s="9">
        <f>IF(AND($B$10="LV",E15="SINGLE CORE"),VLOOKUP('Cable TRAY VER.1.1'!F15,Sheet1!$E$4:$F$23,2,0),IF(AND($B$10="LV",E15="MULTI CORE"),VLOOKUP(F15,Sheet1!$A$4:$B$20,2,0),IF(AND('Cable TRAY VER.1.1'!$B$10="MV",'Cable TRAY VER.1.1'!E15="SINGLE CORE"),VLOOKUP('Cable TRAY VER.1.1'!F15,Sheet1!$A$70:$L$81,12,0),IF(AND('Cable TRAY VER.1.1'!$B$10="MV",'Cable TRAY VER.1.1'!E15="MULTI CORE"),VLOOKUP('Cable TRAY VER.1.1'!F15,Sheet1!$A$87:$L$95,12,0),FALSE))))</f>
        <v>36</v>
      </c>
      <c r="I15" s="9">
        <f t="shared" si="0"/>
        <v>0</v>
      </c>
      <c r="J15" s="9">
        <f t="shared" si="1"/>
        <v>1017.36</v>
      </c>
      <c r="K15" s="11">
        <f t="shared" si="2"/>
        <v>0</v>
      </c>
      <c r="L15" s="12"/>
      <c r="M15" s="73"/>
      <c r="N15" s="74"/>
      <c r="O15" s="76"/>
      <c r="S15" s="45"/>
    </row>
    <row r="16" spans="1:19" ht="14.45" customHeight="1" x14ac:dyDescent="0.2">
      <c r="A16" s="45"/>
      <c r="B16" s="49"/>
      <c r="C16" s="8">
        <v>7</v>
      </c>
      <c r="D16" s="28"/>
      <c r="E16" s="29" t="s">
        <v>30</v>
      </c>
      <c r="F16" s="28">
        <v>50</v>
      </c>
      <c r="G16" s="10" t="s">
        <v>4</v>
      </c>
      <c r="H16" s="9">
        <f>IF(AND($B$10="LV",E16="SINGLE CORE"),VLOOKUP('Cable TRAY VER.1.1'!F16,Sheet1!$E$4:$F$23,2,0),IF(AND($B$10="LV",E16="MULTI CORE"),VLOOKUP(F16,Sheet1!$A$4:$B$20,2,0),IF(AND('Cable TRAY VER.1.1'!$B$10="MV",'Cable TRAY VER.1.1'!E16="SINGLE CORE"),VLOOKUP('Cable TRAY VER.1.1'!F16,Sheet1!$A$70:$L$81,12,0),IF(AND('Cable TRAY VER.1.1'!$B$10="MV",'Cable TRAY VER.1.1'!E16="MULTI CORE"),VLOOKUP('Cable TRAY VER.1.1'!F16,Sheet1!$A$87:$L$95,12,0),FALSE))))</f>
        <v>36</v>
      </c>
      <c r="I16" s="9">
        <f t="shared" si="0"/>
        <v>0</v>
      </c>
      <c r="J16" s="9">
        <f t="shared" si="1"/>
        <v>1017.36</v>
      </c>
      <c r="K16" s="11">
        <f t="shared" si="2"/>
        <v>0</v>
      </c>
      <c r="L16" s="12"/>
      <c r="M16" s="51"/>
      <c r="N16" s="51"/>
      <c r="O16" s="52"/>
      <c r="S16" s="45"/>
    </row>
    <row r="17" spans="1:21" ht="14.45" customHeight="1" x14ac:dyDescent="0.2">
      <c r="A17" s="45"/>
      <c r="B17" s="49"/>
      <c r="C17" s="8">
        <v>8</v>
      </c>
      <c r="D17" s="28"/>
      <c r="E17" s="29" t="s">
        <v>30</v>
      </c>
      <c r="F17" s="28">
        <v>50</v>
      </c>
      <c r="G17" s="10" t="s">
        <v>4</v>
      </c>
      <c r="H17" s="9">
        <f>IF(AND($B$10="LV",E17="SINGLE CORE"),VLOOKUP('Cable TRAY VER.1.1'!F17,Sheet1!$E$4:$F$23,2,0),IF(AND($B$10="LV",E17="MULTI CORE"),VLOOKUP(F17,Sheet1!$A$4:$B$20,2,0),IF(AND('Cable TRAY VER.1.1'!$B$10="MV",'Cable TRAY VER.1.1'!E17="SINGLE CORE"),VLOOKUP('Cable TRAY VER.1.1'!F17,Sheet1!$A$70:$L$81,12,0),IF(AND('Cable TRAY VER.1.1'!$B$10="MV",'Cable TRAY VER.1.1'!E17="MULTI CORE"),VLOOKUP('Cable TRAY VER.1.1'!F17,Sheet1!$A$87:$L$95,12,0),FALSE))))</f>
        <v>36</v>
      </c>
      <c r="I17" s="9">
        <f t="shared" si="0"/>
        <v>0</v>
      </c>
      <c r="J17" s="9">
        <f t="shared" si="1"/>
        <v>1017.36</v>
      </c>
      <c r="K17" s="11">
        <f t="shared" si="2"/>
        <v>0</v>
      </c>
      <c r="L17" s="12"/>
      <c r="M17" s="38" t="s">
        <v>40</v>
      </c>
      <c r="N17" s="38"/>
      <c r="O17" s="38"/>
      <c r="S17" s="45"/>
    </row>
    <row r="18" spans="1:21" x14ac:dyDescent="0.2">
      <c r="A18" s="45"/>
      <c r="B18" s="49"/>
      <c r="C18" s="8">
        <v>9</v>
      </c>
      <c r="D18" s="28"/>
      <c r="E18" s="29" t="s">
        <v>30</v>
      </c>
      <c r="F18" s="28">
        <v>50</v>
      </c>
      <c r="G18" s="10" t="s">
        <v>4</v>
      </c>
      <c r="H18" s="9">
        <f>IF(AND($B$10="LV",E18="SINGLE CORE"),VLOOKUP('Cable TRAY VER.1.1'!F18,Sheet1!$E$4:$F$23,2,0),IF(AND($B$10="LV",E18="MULTI CORE"),VLOOKUP(F18,Sheet1!$A$4:$B$20,2,0),IF(AND('Cable TRAY VER.1.1'!$B$10="MV",'Cable TRAY VER.1.1'!E18="SINGLE CORE"),VLOOKUP('Cable TRAY VER.1.1'!F18,Sheet1!$A$70:$L$81,12,0),IF(AND('Cable TRAY VER.1.1'!$B$10="MV",'Cable TRAY VER.1.1'!E18="MULTI CORE"),VLOOKUP('Cable TRAY VER.1.1'!F18,Sheet1!$A$87:$L$95,12,0),FALSE))))</f>
        <v>36</v>
      </c>
      <c r="I18" s="9">
        <f t="shared" si="0"/>
        <v>0</v>
      </c>
      <c r="J18" s="9">
        <f t="shared" si="1"/>
        <v>1017.36</v>
      </c>
      <c r="K18" s="11">
        <f t="shared" si="2"/>
        <v>0</v>
      </c>
      <c r="L18" s="12"/>
      <c r="M18" s="38"/>
      <c r="N18" s="38"/>
      <c r="O18" s="38"/>
      <c r="S18" s="45"/>
    </row>
    <row r="19" spans="1:21" x14ac:dyDescent="0.2">
      <c r="A19" s="45"/>
      <c r="B19" s="49"/>
      <c r="C19" s="8">
        <v>10</v>
      </c>
      <c r="D19" s="28"/>
      <c r="E19" s="29" t="s">
        <v>30</v>
      </c>
      <c r="F19" s="28">
        <v>50</v>
      </c>
      <c r="G19" s="10" t="s">
        <v>4</v>
      </c>
      <c r="H19" s="9">
        <f>IF(AND($B$10="LV",E19="SINGLE CORE"),VLOOKUP('Cable TRAY VER.1.1'!F19,Sheet1!$E$4:$F$23,2,0),IF(AND($B$10="LV",E19="MULTI CORE"),VLOOKUP(F19,Sheet1!$A$4:$B$20,2,0),IF(AND('Cable TRAY VER.1.1'!$B$10="MV",'Cable TRAY VER.1.1'!E19="SINGLE CORE"),VLOOKUP('Cable TRAY VER.1.1'!F19,Sheet1!$A$70:$L$81,12,0),IF(AND('Cable TRAY VER.1.1'!$B$10="MV",'Cable TRAY VER.1.1'!E19="MULTI CORE"),VLOOKUP('Cable TRAY VER.1.1'!F19,Sheet1!$A$87:$L$95,12,0),FALSE))))</f>
        <v>36</v>
      </c>
      <c r="I19" s="9">
        <f t="shared" si="0"/>
        <v>0</v>
      </c>
      <c r="J19" s="9">
        <f t="shared" si="1"/>
        <v>1017.36</v>
      </c>
      <c r="K19" s="11">
        <f t="shared" si="2"/>
        <v>0</v>
      </c>
      <c r="L19" s="12"/>
      <c r="M19" s="38"/>
      <c r="N19" s="38"/>
      <c r="O19" s="38"/>
      <c r="S19" s="45"/>
    </row>
    <row r="20" spans="1:21" ht="14.45" customHeight="1" x14ac:dyDescent="0.2">
      <c r="A20" s="45"/>
      <c r="B20" s="49"/>
      <c r="C20" s="8">
        <v>11</v>
      </c>
      <c r="D20" s="28"/>
      <c r="E20" s="29" t="s">
        <v>30</v>
      </c>
      <c r="F20" s="28">
        <v>50</v>
      </c>
      <c r="G20" s="10" t="s">
        <v>4</v>
      </c>
      <c r="H20" s="9">
        <f>IF(AND($B$10="LV",E20="SINGLE CORE"),VLOOKUP('Cable TRAY VER.1.1'!F20,Sheet1!$E$4:$F$23,2,0),IF(AND($B$10="LV",E20="MULTI CORE"),VLOOKUP(F20,Sheet1!$A$4:$B$20,2,0),IF(AND('Cable TRAY VER.1.1'!$B$10="MV",'Cable TRAY VER.1.1'!E20="SINGLE CORE"),VLOOKUP('Cable TRAY VER.1.1'!F20,Sheet1!$A$70:$L$81,12,0),IF(AND('Cable TRAY VER.1.1'!$B$10="MV",'Cable TRAY VER.1.1'!E20="MULTI CORE"),VLOOKUP('Cable TRAY VER.1.1'!F20,Sheet1!$A$87:$L$95,12,0),FALSE))))</f>
        <v>36</v>
      </c>
      <c r="I20" s="9">
        <f t="shared" si="0"/>
        <v>0</v>
      </c>
      <c r="J20" s="9">
        <f t="shared" si="1"/>
        <v>1017.36</v>
      </c>
      <c r="K20" s="11">
        <f t="shared" si="2"/>
        <v>0</v>
      </c>
      <c r="L20" s="12"/>
      <c r="M20" s="77" t="s">
        <v>6</v>
      </c>
      <c r="N20" s="77"/>
      <c r="O20" s="78" t="s">
        <v>7</v>
      </c>
      <c r="S20" s="45"/>
    </row>
    <row r="21" spans="1:21" x14ac:dyDescent="0.2">
      <c r="A21" s="45"/>
      <c r="B21" s="49"/>
      <c r="C21" s="8">
        <v>12</v>
      </c>
      <c r="D21" s="28"/>
      <c r="E21" s="29" t="s">
        <v>30</v>
      </c>
      <c r="F21" s="28">
        <v>50</v>
      </c>
      <c r="G21" s="10" t="s">
        <v>4</v>
      </c>
      <c r="H21" s="9">
        <f>IF(AND($B$10="LV",E21="SINGLE CORE"),VLOOKUP('Cable TRAY VER.1.1'!F21,Sheet1!$E$4:$F$23,2,0),IF(AND($B$10="LV",E21="MULTI CORE"),VLOOKUP(F21,Sheet1!$A$4:$B$20,2,0),IF(AND('Cable TRAY VER.1.1'!$B$10="MV",'Cable TRAY VER.1.1'!E21="SINGLE CORE"),VLOOKUP('Cable TRAY VER.1.1'!F21,Sheet1!$A$70:$L$81,12,0),IF(AND('Cable TRAY VER.1.1'!$B$10="MV",'Cable TRAY VER.1.1'!E21="MULTI CORE"),VLOOKUP('Cable TRAY VER.1.1'!F21,Sheet1!$A$87:$L$95,12,0),FALSE))))</f>
        <v>36</v>
      </c>
      <c r="I21" s="9">
        <f t="shared" si="0"/>
        <v>0</v>
      </c>
      <c r="J21" s="9">
        <f t="shared" si="1"/>
        <v>1017.36</v>
      </c>
      <c r="K21" s="11">
        <f t="shared" si="2"/>
        <v>0</v>
      </c>
      <c r="L21" s="12"/>
      <c r="M21" s="77"/>
      <c r="N21" s="77"/>
      <c r="O21" s="78"/>
      <c r="S21" s="45"/>
    </row>
    <row r="22" spans="1:21" x14ac:dyDescent="0.2">
      <c r="A22" s="45"/>
      <c r="B22" s="49"/>
      <c r="C22" s="8">
        <v>13</v>
      </c>
      <c r="D22" s="28"/>
      <c r="E22" s="29" t="s">
        <v>30</v>
      </c>
      <c r="F22" s="28">
        <v>50</v>
      </c>
      <c r="G22" s="10" t="s">
        <v>4</v>
      </c>
      <c r="H22" s="9">
        <f>IF(AND($B$10="LV",E22="SINGLE CORE"),VLOOKUP('Cable TRAY VER.1.1'!F22,Sheet1!$E$4:$F$23,2,0),IF(AND($B$10="LV",E22="MULTI CORE"),VLOOKUP(F22,Sheet1!$A$4:$B$20,2,0),IF(AND('Cable TRAY VER.1.1'!$B$10="MV",'Cable TRAY VER.1.1'!E22="SINGLE CORE"),VLOOKUP('Cable TRAY VER.1.1'!F22,Sheet1!$A$70:$L$81,12,0),IF(AND('Cable TRAY VER.1.1'!$B$10="MV",'Cable TRAY VER.1.1'!E22="MULTI CORE"),VLOOKUP('Cable TRAY VER.1.1'!F22,Sheet1!$A$87:$L$95,12,0),FALSE))))</f>
        <v>36</v>
      </c>
      <c r="I22" s="9">
        <f t="shared" si="0"/>
        <v>0</v>
      </c>
      <c r="J22" s="9">
        <f t="shared" si="1"/>
        <v>1017.36</v>
      </c>
      <c r="K22" s="11">
        <f t="shared" si="2"/>
        <v>0</v>
      </c>
      <c r="L22" s="12"/>
      <c r="M22" s="77"/>
      <c r="N22" s="77"/>
      <c r="O22" s="78"/>
      <c r="P22" s="45" t="s">
        <v>27</v>
      </c>
      <c r="Q22" s="45"/>
      <c r="R22" s="14" t="s">
        <v>28</v>
      </c>
      <c r="S22" s="45"/>
    </row>
    <row r="23" spans="1:21" x14ac:dyDescent="0.2">
      <c r="A23" s="45"/>
      <c r="B23" s="49"/>
      <c r="C23" s="8">
        <v>14</v>
      </c>
      <c r="D23" s="28"/>
      <c r="E23" s="29" t="s">
        <v>30</v>
      </c>
      <c r="F23" s="28">
        <v>50</v>
      </c>
      <c r="G23" s="10" t="s">
        <v>4</v>
      </c>
      <c r="H23" s="9">
        <f>IF(AND($B$10="LV",E23="SINGLE CORE"),VLOOKUP('Cable TRAY VER.1.1'!F23,Sheet1!$E$4:$F$23,2,0),IF(AND($B$10="LV",E23="MULTI CORE"),VLOOKUP(F23,Sheet1!$A$4:$B$20,2,0),IF(AND('Cable TRAY VER.1.1'!$B$10="MV",'Cable TRAY VER.1.1'!E23="SINGLE CORE"),VLOOKUP('Cable TRAY VER.1.1'!F23,Sheet1!$A$70:$L$81,12,0),IF(AND('Cable TRAY VER.1.1'!$B$10="MV",'Cable TRAY VER.1.1'!E23="MULTI CORE"),VLOOKUP('Cable TRAY VER.1.1'!F23,Sheet1!$A$87:$L$95,12,0),FALSE))))</f>
        <v>36</v>
      </c>
      <c r="I23" s="9">
        <f t="shared" si="0"/>
        <v>0</v>
      </c>
      <c r="J23" s="9">
        <f t="shared" si="1"/>
        <v>1017.36</v>
      </c>
      <c r="K23" s="11">
        <f t="shared" si="2"/>
        <v>0</v>
      </c>
      <c r="L23" s="12"/>
      <c r="M23" s="67" t="str">
        <f>IF(B10="LV",Q23,R23)</f>
        <v>More than 10 trays too much</v>
      </c>
      <c r="N23" s="67"/>
      <c r="O23" s="68">
        <v>600</v>
      </c>
      <c r="P23" s="14" t="b">
        <f>IF(AND(MAX(F10:F34)&lt;95,O23=50,K35&lt;Sheet1!C38),1,IF(AND(MAX(F10:F34)&lt;95,O23=50,K35&lt;Sheet1!E38),2,IF(AND(MAX(F10:F34)&lt;95,O23=50,K35&lt;Sheet1!G38),3,IF(AND(MAX(F10:F34)&lt;95,O23=50,K35&lt;Sheet1!I38),4,IF(AND(MAX(F10:F34)&lt;95,O23=50,K35&lt;Sheet1!K38),5,IF(AND(MAX(F10:F34)&lt;95,O23=50,K35&lt;Sheet1!M38),6,IF(AND(MAX(F10:F34)&lt;95,O23=50,K35&lt;Sheet1!O38),7,IF(AND(MAX(F10:F34)&lt;95,O23=50,K35&lt;Sheet1!Q38),8,IF(AND(MAX(F10:F34)&lt;95,O23=50,K35&lt;Sheet1!S38),9,IF(AND(MAX(F10:F34)&lt;95,O23=50,K35&lt;Sheet1!U38),10,IF(AND(MAX(F10:F34)&lt;95,O23=100,K35&lt;Sheet1!C39),1,IF(AND(MAX(F10:F34)&lt;95,O23=100,K35&lt;Sheet1!E39),2,IF(AND(MAX(F10:F34)&lt;95,O23=100,K35&lt;Sheet1!G39),3,IF(AND(MAX(F10:F34)&lt;95,O23=100,K35&lt;Sheet1!I39),4,IF(AND(MAX(F10:F34)&lt;95,O23=100,K35&lt;Sheet1!K39),5,IF(AND(MAX(F10:F34)&lt;95,O23=100,K35&lt;Sheet1!M39),6,IF(AND(MAX(F10:F34)&lt;95,O23=100,K35&lt;Sheet1!O39),7,IF(AND(MAX(F10:F34)&lt;95,O23=100,K35&lt;Sheet1!Q39),8,IF(AND(MAX(F10:F34)&lt;95,O23=100,K35&lt;Sheet1!S39),9,IF(AND(MAX(F10:F34)&lt;95,O23=100,K35&lt;Sheet1!U39),10,IF(AND(MAX(F10:F34)&lt;95,O23=150,K35&lt;Sheet1!C40),1,IF(AND(MAX(F10:F34)&lt;95,O23=150,K35&lt;Sheet1!E40),2,IF(AND(MAX(F10:F34)&lt;95,O23=150,K35&lt;Sheet1!G40),3,IF(AND(MAX(F10:F34)&lt;95,O23=150,K35&lt;Sheet1!I40),4,IF(AND(MAX(F10:F34)&lt;95,O23=150,K35&lt;Sheet1!K40),5,IF(AND(MAX(F10:F34)&lt;95,O23=150,K35&lt;Sheet1!M40),6,IF(AND(MAX(F10:F34)&lt;95,O23=150,K35&lt;Sheet1!O40),7,IF(AND(MAX(F10:F34)&lt;95,O23=150,K35&lt;Sheet1!Q40),8,IF(AND(MAX(F10:F34)&lt;95,O23=150,K35&lt;Sheet1!S40),9,IF(AND(MAX(F10:F34)&lt;95,O23=150,K35&lt;Sheet1!U40),10,IF(AND(MAX(F10:F34)&lt;95,O23=200,K35&lt;Sheet1!C41),1,IF(AND(MAX(F10:F34)&lt;95,O23=200,K35&lt;Sheet1!E41),2,IF(AND(MAX(F10:F34)&lt;95,O23=200,K35&lt;Sheet1!G41),3,IF(AND(MAX(F10:F34)&lt;95,O23=200,K35&lt;Sheet1!I41),4,IF(AND(MAX(F10:F34)&lt;95,O23=200,K35&lt;Sheet1!K41),5,IF(AND(MAX(F10:F34)&lt;95,O23=200,K35&lt;Sheet1!M41),6,IF(AND(MAX(F10:F34)&lt;95,O23=200,K35&lt;Sheet1!O41),7,IF(AND(MAX(F10:F34)&lt;95,O23=200,K35&lt;Sheet1!Q41),8,IF(AND(MAX(F10:F34)&lt;95,O23=200,K35&lt;Sheet1!S41),9,IF(AND(MAX(F10:F34)&lt;95,O23=200,K35&lt;Sheet1!U41),10,IF(AND(MAX(F10:F34)&lt;95,O23=225,K35&lt;Sheet1!C42),1,IF(AND(MAX(F10:F34)&lt;95,O23=225,K35&lt;Sheet1!E42),2,IF(AND(MAX(F10:F34)&lt;95,O23=225,K35&lt;Sheet1!G42),3,IF(AND(MAX(F10:F34)&lt;95,O23=225,K35&lt;Sheet1!I42),4,IF(AND(MAX(F10:F34)&lt;95,O23=225,K35&lt;Sheet1!K42),5,IF(AND(MAX(F10:F34)&lt;95,O23=225,K35&lt;Sheet1!M42),6,IF(AND(MAX(F10:F34)&lt;95,O23=225,K35&lt;Sheet1!O42),7,IF(AND(MAX(F10:F34)&lt;95,O23=225,K35&lt;Sheet1!Q42),8,IF(AND(MAX(F10:F34)&lt;95,O23=225,K35&lt;Sheet1!S42),9,IF(AND(MAX(F10:F34)&lt;95,O23=225,K35&lt;Sheet1!U42),10,IF(AND(MAX(F10:F34)&lt;95,O23=300,K35&lt;Sheet1!C43),1,IF(AND(MAX(F10:F34)&lt;95,O23=300,K35&lt;Sheet1!E43),2,IF(AND(MAX(F10:F34)&lt;95,O23=300,K35&lt;Sheet1!G43),3,IF(AND(MAX(F10:F34)&lt;95,O23=300,K35&lt;Sheet1!I43),4,IF(AND(MAX(F10:F34)&lt;95,O23=300,K35&lt;Sheet1!K43),5,IF(AND(MAX(F10:F34)&lt;95,O23=300,K35&lt;Sheet1!M43),6,IF(AND(MAX(F10:F34)&lt;95,O23=300,K35&lt;Sheet1!O43),7,IF(AND(MAX(F10:F34)&lt;95,O23=300,K35&lt;Sheet1!Q43),8,IF(AND(MAX(F10:F34)&lt;95,O23=300,K35&lt;Sheet1!S43),9,IF(AND(MAX(F10:F34)&lt;95,O23=300,K35&lt;Sheet1!U43),10,FALSE))))))))))))))))))))))))))))))))))))))))))))))))))))))))))))</f>
        <v>0</v>
      </c>
      <c r="Q23" s="1" t="str">
        <f>IF(P27=0,"More than 10 trays too much",P27)</f>
        <v>More than 10 trays too much</v>
      </c>
      <c r="R23" s="14" t="str">
        <f>IF(I35&lt;O23,1,IF(I35&lt;O23*2,2,IF(I35&lt;O23*3,3,IF(I35&lt;O23*4,4,IF(I35&lt;O23*5,5,IF(I35&lt;O23*6,6,IF(I35&lt;O23*7,7,IF(I35&lt;O23*8,8,IF(I35&lt;O23*9,9,IF(I35&lt;O23*10,10,"More than 10 trays too much"))))))))))</f>
        <v>More than 10 trays too much</v>
      </c>
      <c r="S23" s="45"/>
    </row>
    <row r="24" spans="1:21" x14ac:dyDescent="0.2">
      <c r="A24" s="45"/>
      <c r="B24" s="49"/>
      <c r="C24" s="8">
        <v>15</v>
      </c>
      <c r="D24" s="28"/>
      <c r="E24" s="29" t="s">
        <v>30</v>
      </c>
      <c r="F24" s="28">
        <v>50</v>
      </c>
      <c r="G24" s="10" t="s">
        <v>4</v>
      </c>
      <c r="H24" s="9">
        <f>IF(AND($B$10="LV",E24="SINGLE CORE"),VLOOKUP('Cable TRAY VER.1.1'!F24,Sheet1!$E$4:$F$23,2,0),IF(AND($B$10="LV",E24="MULTI CORE"),VLOOKUP(F24,Sheet1!$A$4:$B$20,2,0),IF(AND('Cable TRAY VER.1.1'!$B$10="MV",'Cable TRAY VER.1.1'!E24="SINGLE CORE"),VLOOKUP('Cable TRAY VER.1.1'!F24,Sheet1!$A$70:$L$81,12,0),IF(AND('Cable TRAY VER.1.1'!$B$10="MV",'Cable TRAY VER.1.1'!E24="MULTI CORE"),VLOOKUP('Cable TRAY VER.1.1'!F24,Sheet1!$A$87:$L$95,12,0),FALSE))))</f>
        <v>36</v>
      </c>
      <c r="I24" s="9">
        <f t="shared" si="0"/>
        <v>0</v>
      </c>
      <c r="J24" s="9">
        <f t="shared" si="1"/>
        <v>1017.36</v>
      </c>
      <c r="K24" s="11">
        <f t="shared" si="2"/>
        <v>0</v>
      </c>
      <c r="L24" s="12"/>
      <c r="M24" s="67"/>
      <c r="N24" s="67"/>
      <c r="O24" s="68"/>
      <c r="P24" s="14" t="b">
        <f>IF(AND(MAX(F10:F34)&lt;95,O23=400,K35&lt;Sheet1!C44),1,IF(AND(MAX(F10:F34)&lt;95,O23=400,K35&lt;Sheet1!E44),2,IF(AND(MAX(F10:F34)&lt;95,O23=400,K35&lt;Sheet1!G44),3,IF(AND(MAX(F10:F34)&lt;95,O23=400,K35&lt;Sheet1!I44),4,IF(AND(MAX(F10:F34)&lt;95,O23=400,K35&lt;Sheet1!K44),5,IF(AND(MAX(F10:F34)&lt;95,O23=400,K35&lt;Sheet1!M44),6,IF(AND(MAX(F10:F34)&lt;95,O23=400,K35&lt;Sheet1!O44),7,IF(AND(MAX(F10:F34)&lt;95,O23=400,K35&lt;Sheet1!Q44),8,IF(AND(MAX(F10:F34)&lt;95,O23=400,K35&lt;Sheet1!S44),9,IF(AND(MAX(F10:F34)&lt;95,O23=400,K35&lt;Sheet1!U44),10,IF(AND(MAX(F10:F34)&lt;95,O23=450,K35&lt;Sheet1!C45),1,IF(AND(MAX(F10:F34)&lt;95,O23=450,K35&lt;Sheet1!E45),2,IF(AND(MAX(F10:F34)&lt;95,O23=450,K35&lt;Sheet1!G45),3,IF(AND(MAX(F10:F34)&lt;95,O23=450,K35&lt;Sheet1!I45),4,IF(AND(MAX(F10:F34)&lt;95,O23=450,K35&lt;Sheet1!K45),5,IF(AND(MAX(F10:F34)&lt;95,O23=450,K35&lt;Sheet1!M45),6,IF(AND(MAX(F10:F34)&lt;95,O23=450,K35&lt;Sheet1!O45),7,IF(AND(MAX(F10:F34)&lt;95,O23=450,K35&lt;Sheet1!Q45),8,IF(AND(MAX(F10:F34)&lt;95,O23=450,K35&lt;Sheet1!S45),9,IF(AND(MAX(F10:F34)&lt;95,O23=450,K35&lt;Sheet1!U45),10,IF(AND(MAX(F10:F34)&lt;95,O23=500,K35&lt;Sheet1!C46),1,IF(AND(MAX(F10:F34)&lt;95,O23=500,K35&lt;Sheet1!E46),2,IF(AND(MAX(F10:F34)&lt;95,O23=500,K35&lt;Sheet1!G46),3,IF(AND(MAX(F10:F34)&lt;95,O23=500,K35&lt;Sheet1!I46),4,IF(AND(MAX(F10:F34)&lt;95,O23=500,K35&lt;Sheet1!K46),5,IF(AND(MAX(F10:F34)&lt;95,O23=500,K35&lt;Sheet1!M46),6,IF(AND(MAX(F10:F34)&lt;95,O23=500,K35&lt;Sheet1!O46),7,IF(AND(MAX(F10:F34)&lt;95,O23=500,K35&lt;Sheet1!Q46),8,IF(AND(MAX(F10:F34)&lt;95,O23=500,K35&lt;Sheet1!S46),9,IF(AND(MAX(F10:F34)&lt;95,O23=500,K35&lt;Sheet1!U46),10,IF(AND(MAX(F10:F34)&lt;95,O23=600,K35&lt;Sheet1!C47),1,IF(AND(MAX(F10:F34)&lt;95,O23=600,K35&lt;Sheet1!E47),2,IF(AND(MAX(F10:F34)&lt;95,O23=600,K35&lt;Sheet1!G47),3,IF(AND(MAX(F10:F34)&lt;95,O23=600,K35&lt;Sheet1!I47),4,IF(AND(MAX(F10:F34)&lt;95,O23=600,K35&lt;Sheet1!K47),5,IF(AND(MAX(F10:F34)&lt;95,O23=600,K35&lt;Sheet1!M47),6,IF(AND(MAX(F10:F34)&lt;95,O23=600,K35&lt;Sheet1!O47),7,IF(AND(MAX(F10:F34)&lt;95,O23=600,K35&lt;Sheet1!Q47),8,IF(AND(MAX(F10:F34)&lt;95,O23=600,K35&lt;Sheet1!S47),9,IF(AND(MAX(F10:F34)&lt;95,O23=600,K35&lt;Sheet1!U47),10,IF(AND(MAX(F10:F34)&lt;95,O23=750,K35&lt;Sheet1!C48),1,IF(AND(MAX(F10:F34)&lt;95,O23=750,K35&lt;Sheet1!E48),2,IF(AND(MAX(F10:F34)&lt;95,O23=750,K35&lt;Sheet1!G48),3,IF(AND(MAX(F10:F34)&lt;95,O23=750,K35&lt;Sheet1!I48),4,IF(AND(MAX(F10:F34)&lt;95,O23=750,K35&lt;Sheet1!K48),5,IF(AND(MAX(F10:F34)&lt;95,O23=750,K35&lt;Sheet1!M48),6,IF(AND(MAX(F10:F34)&lt;95,O23=750,K35&lt;Sheet1!O48),7,IF(AND(MAX(F10:F34)&lt;95,O23=750,K35&lt;Sheet1!Q48),8,IF(AND(MAX(F10:F34)&lt;95,O23=750,K35&lt;Sheet1!S48),9,IF(AND(MAX(F10:F34)&lt;95,O23=750,K35&lt;Sheet1!U48),10,IF(AND(MAX(F10:F34)&lt;95,O23=900,K35&lt;Sheet1!C49),1,IF(AND(MAX(F10:F34)&lt;95,O23=900,K35&lt;Sheet1!E49),2,IF(AND(MAX(F10:F34)&lt;95,O23=900,K35&lt;Sheet1!G49),3,IF(AND(MAX(F10:F34)&lt;95,O23=900,K35&lt;Sheet1!I49),4,IF(AND(MAX(F10:F34)&lt;95,O23=900,K35&lt;Sheet1!K49),5,IF(AND(MAX(F10:F34)&lt;95,O23=900,K35&lt;Sheet1!M49),6,IF(AND(MAX(F10:F34)&lt;95,O23=900,K35&lt;Sheet1!O49),7,IF(AND(MAX(F10:F34)&lt;95,O23=900,K35&lt;Sheet1!Q49),8,IF(AND(MAX(F10:F34)&lt;95,O23=900,K35&lt;Sheet1!S49),9,IF(AND(MAX(F10:F34)&lt;95,O23=900,K35&lt;Sheet1!U49),10,FALSE))))))))))))))))))))))))))))))))))))))))))))))))))))))))))))</f>
        <v>0</v>
      </c>
      <c r="S24" s="45"/>
      <c r="U24" s="1" t="s">
        <v>11</v>
      </c>
    </row>
    <row r="25" spans="1:21" x14ac:dyDescent="0.2">
      <c r="A25" s="45"/>
      <c r="B25" s="49"/>
      <c r="C25" s="8">
        <v>16</v>
      </c>
      <c r="D25" s="28"/>
      <c r="E25" s="29" t="s">
        <v>30</v>
      </c>
      <c r="F25" s="28">
        <v>50</v>
      </c>
      <c r="G25" s="10" t="s">
        <v>4</v>
      </c>
      <c r="H25" s="9">
        <f>IF(AND($B$10="LV",E25="SINGLE CORE"),VLOOKUP('Cable TRAY VER.1.1'!F25,Sheet1!$E$4:$F$23,2,0),IF(AND($B$10="LV",E25="MULTI CORE"),VLOOKUP(F25,Sheet1!$A$4:$B$20,2,0),IF(AND('Cable TRAY VER.1.1'!$B$10="MV",'Cable TRAY VER.1.1'!E25="SINGLE CORE"),VLOOKUP('Cable TRAY VER.1.1'!F25,Sheet1!$A$70:$L$81,12,0),IF(AND('Cable TRAY VER.1.1'!$B$10="MV",'Cable TRAY VER.1.1'!E25="MULTI CORE"),VLOOKUP('Cable TRAY VER.1.1'!F25,Sheet1!$A$87:$L$95,12,0),FALSE))))</f>
        <v>36</v>
      </c>
      <c r="I25" s="9">
        <f t="shared" si="0"/>
        <v>0</v>
      </c>
      <c r="J25" s="9">
        <f t="shared" si="1"/>
        <v>1017.36</v>
      </c>
      <c r="K25" s="11">
        <f t="shared" si="2"/>
        <v>0</v>
      </c>
      <c r="L25" s="12"/>
      <c r="M25" s="67"/>
      <c r="N25" s="67"/>
      <c r="O25" s="68"/>
      <c r="P25" s="14" t="b">
        <f>IF(AND(95&lt;=MAX(F10:F34),O23=50,K35&lt;Sheet1!D38),1,IF(AND(95&lt;=MAX(F10:F34),O23=50,K35&lt;Sheet1!F38),2,IF(AND(95&lt;=MAX(F10:F34),O23=50,K35&lt;Sheet1!H38),3,IF(AND(95&lt;=MAX(F10:F34),O23=50,K35&lt;Sheet1!J38),4,IF(AND(95&lt;=MAX(F10:F34),O23=50,K35&lt;Sheet1!L38),5,IF(AND(95&lt;=MAX(F10:F34),O23=50,K35&lt;Sheet1!N38),6,IF(AND(95&lt;=MAX(F10:F34),O23=50,K35&lt;Sheet1!P38),7,IF(AND(95&lt;=MAX(F10:F34),O23=50,K35&lt;Sheet1!R38),8,IF(AND(95&lt;=MAX(F10:F34),O23=50,K35&lt;Sheet1!T38),9,IF(AND(95&lt;=MAX(F10:F34),O23=50,K35&lt;Sheet1!V38),10,IF(AND(95&lt;=MAX(F10:F34),O23=100,K35&lt;Sheet1!D39),1,IF(AND(95&lt;=MAX(F10:F34),O23=100,K35&lt;Sheet1!F39),2,IF(AND(95&lt;=MAX(F10:F34),O23=100,K35&lt;Sheet1!H39),3,IF(AND(95&lt;=MAX(F10:F34),O23=100,K35&lt;Sheet1!J39),4,IF(AND(95&lt;=MAX(F10:F34),O23=100,K35&lt;Sheet1!L39),5,IF(AND(95&lt;=MAX(F10:F34),O23=100,K35&lt;Sheet1!N39),6,IF(AND(95&lt;=MAX(F10:F34),O23=100,K35&lt;Sheet1!P39),7,IF(AND(95&lt;=MAX(F10:F34),O23=100,K35&lt;Sheet1!R39),8,IF(AND(95&lt;=MAX(F10:F34),O23=100,K35&lt;Sheet1!T39),9,IF(AND(95&lt;=MAX(F10:F34),O23=100,K35&lt;Sheet1!V39),10,IF(AND(95&lt;=MAX(F10:F34),O23=150,K35&lt;Sheet1!D40),1,IF(AND(95&lt;=MAX(F10:F34),O23=150,K35&lt;Sheet1!F40),2,IF(AND(95&lt;=MAX(F10:F34),O23=150,K35&lt;Sheet1!H40),3,IF(AND(95&lt;=MAX(F10:F34),O23=150,K35&lt;Sheet1!J40),4,IF(AND(95&lt;=MAX(F10:F34),O23=150,K35&lt;Sheet1!L40),5,IF(AND(95&lt;=MAX(F10:F34),O23=150,K35&lt;Sheet1!N40),6,IF(AND(95&lt;=MAX(F10:F34),O23=150,K35&lt;Sheet1!P40),7,IF(AND(95&lt;=MAX(F10:F34),O23=150,K35&lt;Sheet1!R40),8,IF(AND(95&lt;=MAX(F10:F34),O23=150,K35&lt;Sheet1!T40),9,IF(AND(95&lt;=MAX(F10:F34),O23=150,K35&lt;Sheet1!V40),10,IF(AND(95&lt;=MAX(F10:F34),O23=200,K35&lt;Sheet1!D41),1,IF(AND(95&lt;=MAX(F10:F34),O23=200,K35&lt;Sheet1!F41),2,IF(AND(95&lt;=MAX(F10:F34),O23=200,K35&lt;Sheet1!H41),3,IF(AND(95&lt;=MAX(F10:F34),O23=200,K35&lt;Sheet1!J41),4,IF(AND(95&lt;=MAX(F10:F34),O23=200,K35&lt;Sheet1!L41),5,IF(AND(95&lt;=MAX(F10:F34),O23=200,K35&lt;Sheet1!N41),6,IF(AND(95&lt;=MAX(F10:F34),O23=200,K35&lt;Sheet1!P41),7,IF(AND(95&lt;=MAX(F10:F34),O23=200,K35&lt;Sheet1!R41),8,IF(AND(95&lt;=MAX(F10:F34),O23=200,K35&lt;Sheet1!T41),9,IF(AND(95&lt;=MAX(F10:F34),O23=200,K35&lt;Sheet1!V41),10,IF(AND(95&lt;=MAX(F10:F34),O23=225,K35&lt;Sheet1!D42),1,IF(AND(95&lt;=MAX(F10:F34),O23=225,K35&lt;Sheet1!F42),2,IF(AND(95&lt;=MAX(F10:F34),O23=225,K35&lt;Sheet1!H42),3,IF(AND(95&lt;=MAX(F10:F34),O23=225,K35&lt;Sheet1!J42),4,IF(AND(95&lt;=MAX(F10:F34),O23=225,K35&lt;Sheet1!L42),5,IF(AND(95&lt;=MAX(F10:F34),O23=225,K35&lt;Sheet1!N42),6,IF(AND(95&lt;=MAX(F10:F34),O23=225,K35&lt;Sheet1!P42),7,IF(AND(95&lt;=MAX(F10:F34),O23=225,K35&lt;Sheet1!R42),8,IF(AND(95&lt;=MAX(F10:F34),O23=225,K35&lt;Sheet1!T42),9,IF(AND(95&lt;=MAX(F10:F34),O23=225,K35&lt;Sheet1!V42),10,IF(AND(95&lt;=MAX(F10:F34),O23=300,K35&lt;Sheet1!D43),1,IF(AND(95&lt;=MAX(F10:F34),O23=300,K35&lt;Sheet1!F43),2,IF(AND(95&lt;=MAX(F10:F34),O23=300,K35&lt;Sheet1!H43),3,IF(AND(95&lt;=MAX(F10:F34),O23=300,K35&lt;Sheet1!J43),4,IF(AND(95&lt;=MAX(F10:F34),O23=300,K35&lt;Sheet1!L43),5,IF(AND(95&lt;=MAX(F10:F34),O23=300,K35&lt;Sheet1!N43),6,IF(AND(95&lt;=MAX(F10:F34),O23=300,K35&lt;Sheet1!P43),7,IF(AND(95&lt;=MAX(F10:F34),O23=300,K35&lt;Sheet1!R43),8,IF(AND(95&lt;=MAX(F10:F34),O23=300,K35&lt;Sheet1!T43),9,IF(AND(95&lt;=MAX(F10:F34),O23=300,K35&lt;Sheet1!V43),10,FALSE))))))))))))))))))))))))))))))))))))))))))))))))))))))))))))</f>
        <v>0</v>
      </c>
      <c r="S25" s="45"/>
    </row>
    <row r="26" spans="1:21" x14ac:dyDescent="0.2">
      <c r="A26" s="45"/>
      <c r="B26" s="49"/>
      <c r="C26" s="8">
        <v>17</v>
      </c>
      <c r="D26" s="28"/>
      <c r="E26" s="29" t="s">
        <v>30</v>
      </c>
      <c r="F26" s="28">
        <v>50</v>
      </c>
      <c r="G26" s="10" t="s">
        <v>4</v>
      </c>
      <c r="H26" s="9">
        <f>IF(AND($B$10="LV",E26="SINGLE CORE"),VLOOKUP('Cable TRAY VER.1.1'!F26,Sheet1!$E$4:$F$23,2,0),IF(AND($B$10="LV",E26="MULTI CORE"),VLOOKUP(F26,Sheet1!$A$4:$B$20,2,0),IF(AND('Cable TRAY VER.1.1'!$B$10="MV",'Cable TRAY VER.1.1'!E26="SINGLE CORE"),VLOOKUP('Cable TRAY VER.1.1'!F26,Sheet1!$A$70:$L$81,12,0),IF(AND('Cable TRAY VER.1.1'!$B$10="MV",'Cable TRAY VER.1.1'!E26="MULTI CORE"),VLOOKUP('Cable TRAY VER.1.1'!F26,Sheet1!$A$87:$L$95,12,0),FALSE))))</f>
        <v>36</v>
      </c>
      <c r="I26" s="9">
        <f t="shared" si="0"/>
        <v>0</v>
      </c>
      <c r="J26" s="9">
        <f t="shared" si="1"/>
        <v>1017.36</v>
      </c>
      <c r="K26" s="11">
        <f t="shared" si="2"/>
        <v>0</v>
      </c>
      <c r="L26" s="12"/>
      <c r="M26" s="51"/>
      <c r="N26" s="51"/>
      <c r="O26" s="52"/>
      <c r="P26" s="14" t="b">
        <f>IF(AND(95&lt;=MAX(F10:F34),O23=400,K35&lt;Sheet1!D44),1,IF(AND(95&lt;=MAX(F10:F34),O23=400,K35&lt;Sheet1!F44),2,IF(AND(95&lt;=MAX(F10:F34),O23=400,K35&lt;Sheet1!H44),3,IF(AND(95&lt;=MAX(F10:F34),O23=400,K35&lt;Sheet1!J44),4,IF(AND(95&lt;=MAX(F10:F34),O23=400,K35&lt;Sheet1!L44),5,IF(AND(95&lt;=MAX(F10:F34),O23=400,K35&lt;Sheet1!N44),6,IF(AND(95&lt;=MAX(F10:F34),O23=400,K35&lt;Sheet1!P44),7,IF(AND(95&lt;=MAX(F10:F34),O23=400,K35&lt;Sheet1!R44),8,IF(AND(95&lt;=MAX(F10:F34),O23=400,K35&lt;Sheet1!T44),9,IF(AND(95&lt;=MAX(F10:F34),O23=400,K35&lt;Sheet1!V44),10,IF(AND(95&lt;=MAX(F10:F34),O23=450,K35&lt;Sheet1!D45),1,IF(AND(95&lt;=MAX(F10:F34),O23=450,K35&lt;Sheet1!F45),2,IF(AND(95&lt;=MAX(F10:F34),O23=450,K35&lt;Sheet1!H45),3,IF(AND(95&lt;=MAX(F10:F34),O23=450,K35&lt;Sheet1!J45),4,IF(AND(95&lt;=MAX(F10:F34),O23=450,K35&lt;Sheet1!L45),5,IF(AND(95&lt;=MAX(F10:F34),O23=450,K35&lt;Sheet1!N45),6,IF(AND(95&lt;=MAX(F10:F34),O23=450,K35&lt;Sheet1!P45),7,IF(AND(95&lt;=MAX(F10:F34),O23=450,K35&lt;Sheet1!R45),8,IF(AND(95&lt;=MAX(F10:F34),O23=450,K35&lt;Sheet1!T45),9,IF(AND(95&lt;=MAX(F10:F34),O23=450,K35&lt;Sheet1!V45),10,IF(AND(95&lt;=MAX(F10:F34),O23=500,K35&lt;Sheet1!D46),1,IF(AND(95&lt;=MAX(F10:F34),O23=500,K35&lt;Sheet1!F46),2,IF(AND(95&lt;=MAX(F10:F34),O23=500,K35&lt;Sheet1!H46),3,IF(AND(95&lt;=MAX(F10:F34),O23=500,K35&lt;Sheet1!J46),4,IF(AND(95&lt;=MAX(F10:F34),O23=500,K35&lt;Sheet1!L46),5,IF(AND(95&lt;=MAX(F10:F34),O23=500,K35&lt;Sheet1!N46),6,IF(AND(95&lt;=MAX(F10:F34),O23=500,K35&lt;Sheet1!P46),7,IF(AND(95&lt;=MAX(F10:F34),O23=500,K35&lt;Sheet1!R46),8,IF(AND(95&lt;=MAX(F10:F34),O23=500,K35&lt;Sheet1!T46),9,IF(AND(95&lt;=MAX(F10:F34),O23=500,K35&lt;Sheet1!V46),10,IF(AND(95&lt;=MAX(F10:F34),O23=600,K35&lt;Sheet1!D47),1,IF(AND(95&lt;=MAX(F10:F34),O23=600,K35&lt;Sheet1!F47),2,IF(AND(95&lt;=MAX(F10:F34),O23=600,K35&lt;Sheet1!H47),3,IF(AND(95&lt;=MAX(F10:F34),O23=600,K35&lt;Sheet1!J47),4,IF(AND(95&lt;=MAX(F10:F34),O23=600,K35&lt;Sheet1!L47),5,IF(AND(95&lt;=MAX(F10:F34),O23=600,K35&lt;Sheet1!N47),6,IF(AND(95&lt;=MAX(F10:F34),O23=600,K35&lt;Sheet1!P47),7,IF(AND(95&lt;=MAX(F10:F34),O23=600,K35&lt;Sheet1!R47),8,IF(AND(95&lt;=MAX(F10:F34),O23=600,K35&lt;Sheet1!T47),9,IF(AND(95&lt;=MAX(F10:F34),O23=600,K35&lt;Sheet1!V47),10,IF(AND(95&lt;=MAX(F10:F34),O23=750,K35&lt;Sheet1!D48),1,IF(AND(95&lt;=MAX(F10:F34),O23=750,K35&lt;Sheet1!F48),2,IF(AND(95&lt;=MAX(F10:F34),O23=750,K35&lt;Sheet1!H48),3,IF(AND(95&lt;=MAX(F10:F34),O23=750,K35&lt;Sheet1!J48),4,IF(AND(95&lt;=MAX(F10:F34),O23=750,K35&lt;Sheet1!L48),5,IF(AND(95&lt;=MAX(F10:F34),O23=750,K35&lt;Sheet1!N48),6,IF(AND(95&lt;=MAX(F10:F34),O23=750,K35&lt;Sheet1!P48),7,IF(AND(95&lt;=MAX(F10:F34),O23=750,K35&lt;Sheet1!R48),8,IF(AND(95&lt;=MAX(F10:F34),O23=750,K35&lt;Sheet1!T48),9,IF(AND(95&lt;=MAX(F10:F34),O23=750,K35&lt;Sheet1!V48),10,IF(AND(95&lt;=MAX(F10:F34),O23=900,K35&lt;Sheet1!D49),1,IF(AND(95&lt;=MAX(F10:F34),O23=900,K35&lt;Sheet1!F49),2,IF(AND(95&lt;=MAX(F10:F34),O23=900,K35&lt;Sheet1!H49),3,IF(AND(95&lt;=MAX(F10:F34),O23=900,K35&lt;Sheet1!J49),4,IF(AND(95&lt;=MAX(F10:F34),O23=900,K35&lt;Sheet1!L49),5,IF(AND(95&lt;=MAX(F10:F34),O23=900,K35&lt;Sheet1!N49),6,IF(AND(95&lt;=MAX(F10:F34),O23=900,K35&lt;Sheet1!P49),7,IF(AND(95&lt;=MAX(F10:F34),O23=900,K35&lt;Sheet1!R49),8,IF(AND(95&lt;=MAX(F10:F34),O23=900,K35&lt;Sheet1!T49),9,IF(AND(95&lt;=MAX(F10:F34),O23=900,K35&lt;Sheet1!V49),10,FALSE))))))))))))))))))))))))))))))))))))))))))))))))))))))))))))</f>
        <v>0</v>
      </c>
      <c r="S26" s="45"/>
    </row>
    <row r="27" spans="1:21" x14ac:dyDescent="0.2">
      <c r="A27" s="45"/>
      <c r="B27" s="49"/>
      <c r="C27" s="8">
        <v>18</v>
      </c>
      <c r="D27" s="28"/>
      <c r="E27" s="29" t="s">
        <v>30</v>
      </c>
      <c r="F27" s="28">
        <v>50</v>
      </c>
      <c r="G27" s="10" t="s">
        <v>4</v>
      </c>
      <c r="H27" s="9">
        <f>IF(AND($B$10="LV",E27="SINGLE CORE"),VLOOKUP('Cable TRAY VER.1.1'!F27,Sheet1!$E$4:$F$23,2,0),IF(AND($B$10="LV",E27="MULTI CORE"),VLOOKUP(F27,Sheet1!$A$4:$B$20,2,0),IF(AND('Cable TRAY VER.1.1'!$B$10="MV",'Cable TRAY VER.1.1'!E27="SINGLE CORE"),VLOOKUP('Cable TRAY VER.1.1'!F27,Sheet1!$A$70:$L$81,12,0),IF(AND('Cable TRAY VER.1.1'!$B$10="MV",'Cable TRAY VER.1.1'!E27="MULTI CORE"),VLOOKUP('Cable TRAY VER.1.1'!F27,Sheet1!$A$87:$L$95,12,0),FALSE))))</f>
        <v>36</v>
      </c>
      <c r="I27" s="9">
        <f t="shared" si="0"/>
        <v>0</v>
      </c>
      <c r="J27" s="9">
        <f t="shared" si="1"/>
        <v>1017.36</v>
      </c>
      <c r="K27" s="11">
        <f t="shared" si="2"/>
        <v>0</v>
      </c>
      <c r="L27" s="12"/>
      <c r="M27" s="51"/>
      <c r="N27" s="51"/>
      <c r="O27" s="52"/>
      <c r="P27" s="14">
        <f>MAX(P23:P26)</f>
        <v>0</v>
      </c>
      <c r="S27" s="45"/>
    </row>
    <row r="28" spans="1:21" x14ac:dyDescent="0.2">
      <c r="A28" s="45"/>
      <c r="B28" s="49"/>
      <c r="C28" s="8">
        <v>19</v>
      </c>
      <c r="D28" s="28"/>
      <c r="E28" s="29" t="s">
        <v>30</v>
      </c>
      <c r="F28" s="28">
        <v>50</v>
      </c>
      <c r="G28" s="10" t="s">
        <v>4</v>
      </c>
      <c r="H28" s="9">
        <f>IF(AND($B$10="LV",E28="SINGLE CORE"),VLOOKUP('Cable TRAY VER.1.1'!F28,Sheet1!$E$4:$F$23,2,0),IF(AND($B$10="LV",E28="MULTI CORE"),VLOOKUP(F28,Sheet1!$A$4:$B$20,2,0),IF(AND('Cable TRAY VER.1.1'!$B$10="MV",'Cable TRAY VER.1.1'!E28="SINGLE CORE"),VLOOKUP('Cable TRAY VER.1.1'!F28,Sheet1!$A$70:$L$81,12,0),IF(AND('Cable TRAY VER.1.1'!$B$10="MV",'Cable TRAY VER.1.1'!E28="MULTI CORE"),VLOOKUP('Cable TRAY VER.1.1'!F28,Sheet1!$A$87:$L$95,12,0),FALSE))))</f>
        <v>36</v>
      </c>
      <c r="I28" s="9">
        <f t="shared" si="0"/>
        <v>0</v>
      </c>
      <c r="J28" s="9">
        <f t="shared" si="1"/>
        <v>1017.36</v>
      </c>
      <c r="K28" s="11">
        <f t="shared" si="2"/>
        <v>0</v>
      </c>
      <c r="L28" s="12"/>
      <c r="M28" s="51"/>
      <c r="N28" s="51"/>
      <c r="O28" s="52"/>
      <c r="S28" s="45"/>
    </row>
    <row r="29" spans="1:21" x14ac:dyDescent="0.2">
      <c r="A29" s="45"/>
      <c r="B29" s="49"/>
      <c r="C29" s="8">
        <v>20</v>
      </c>
      <c r="D29" s="28"/>
      <c r="E29" s="29" t="s">
        <v>30</v>
      </c>
      <c r="F29" s="28">
        <v>50</v>
      </c>
      <c r="G29" s="10" t="s">
        <v>4</v>
      </c>
      <c r="H29" s="9">
        <f>IF(AND($B$10="LV",E29="SINGLE CORE"),VLOOKUP('Cable TRAY VER.1.1'!F29,Sheet1!$E$4:$F$23,2,0),IF(AND($B$10="LV",E29="MULTI CORE"),VLOOKUP(F29,Sheet1!$A$4:$B$20,2,0),IF(AND('Cable TRAY VER.1.1'!$B$10="MV",'Cable TRAY VER.1.1'!E29="SINGLE CORE"),VLOOKUP('Cable TRAY VER.1.1'!F29,Sheet1!$A$70:$L$81,12,0),IF(AND('Cable TRAY VER.1.1'!$B$10="MV",'Cable TRAY VER.1.1'!E29="MULTI CORE"),VLOOKUP('Cable TRAY VER.1.1'!F29,Sheet1!$A$87:$L$95,12,0),FALSE))))</f>
        <v>36</v>
      </c>
      <c r="I29" s="9">
        <f t="shared" si="0"/>
        <v>0</v>
      </c>
      <c r="J29" s="9">
        <f t="shared" si="1"/>
        <v>1017.36</v>
      </c>
      <c r="K29" s="11">
        <f t="shared" si="2"/>
        <v>0</v>
      </c>
      <c r="L29" s="12"/>
      <c r="M29" s="51"/>
      <c r="N29" s="51"/>
      <c r="O29" s="52"/>
      <c r="S29" s="45"/>
    </row>
    <row r="30" spans="1:21" x14ac:dyDescent="0.2">
      <c r="A30" s="45"/>
      <c r="B30" s="49"/>
      <c r="C30" s="8">
        <v>21</v>
      </c>
      <c r="D30" s="28"/>
      <c r="E30" s="29" t="s">
        <v>30</v>
      </c>
      <c r="F30" s="28">
        <v>50</v>
      </c>
      <c r="G30" s="10" t="s">
        <v>4</v>
      </c>
      <c r="H30" s="9">
        <f>IF(AND($B$10="LV",E30="SINGLE CORE"),VLOOKUP('Cable TRAY VER.1.1'!F30,Sheet1!$E$4:$F$23,2,0),IF(AND($B$10="LV",E30="MULTI CORE"),VLOOKUP(F30,Sheet1!$A$4:$B$20,2,0),IF(AND('Cable TRAY VER.1.1'!$B$10="MV",'Cable TRAY VER.1.1'!E30="SINGLE CORE"),VLOOKUP('Cable TRAY VER.1.1'!F30,Sheet1!$A$70:$L$81,12,0),IF(AND('Cable TRAY VER.1.1'!$B$10="MV",'Cable TRAY VER.1.1'!E30="MULTI CORE"),VLOOKUP('Cable TRAY VER.1.1'!F30,Sheet1!$A$87:$L$95,12,0),FALSE))))</f>
        <v>36</v>
      </c>
      <c r="I30" s="9">
        <f t="shared" si="0"/>
        <v>0</v>
      </c>
      <c r="J30" s="9">
        <f t="shared" si="1"/>
        <v>1017.36</v>
      </c>
      <c r="K30" s="11">
        <f t="shared" si="2"/>
        <v>0</v>
      </c>
      <c r="L30" s="12"/>
      <c r="M30" s="51"/>
      <c r="N30" s="51"/>
      <c r="O30" s="52"/>
      <c r="S30" s="45"/>
    </row>
    <row r="31" spans="1:21" x14ac:dyDescent="0.2">
      <c r="A31" s="45"/>
      <c r="B31" s="49"/>
      <c r="C31" s="8">
        <v>22</v>
      </c>
      <c r="D31" s="28"/>
      <c r="E31" s="29" t="s">
        <v>30</v>
      </c>
      <c r="F31" s="28">
        <v>50</v>
      </c>
      <c r="G31" s="10" t="s">
        <v>4</v>
      </c>
      <c r="H31" s="9">
        <f>IF(AND($B$10="LV",E31="SINGLE CORE"),VLOOKUP('Cable TRAY VER.1.1'!F31,Sheet1!$E$4:$F$23,2,0),IF(AND($B$10="LV",E31="MULTI CORE"),VLOOKUP(F31,Sheet1!$A$4:$B$20,2,0),IF(AND('Cable TRAY VER.1.1'!$B$10="MV",'Cable TRAY VER.1.1'!E31="SINGLE CORE"),VLOOKUP('Cable TRAY VER.1.1'!F31,Sheet1!$A$70:$L$81,12,0),IF(AND('Cable TRAY VER.1.1'!$B$10="MV",'Cable TRAY VER.1.1'!E31="MULTI CORE"),VLOOKUP('Cable TRAY VER.1.1'!F31,Sheet1!$A$87:$L$95,12,0),FALSE))))</f>
        <v>36</v>
      </c>
      <c r="I31" s="9">
        <f t="shared" si="0"/>
        <v>0</v>
      </c>
      <c r="J31" s="9">
        <f t="shared" si="1"/>
        <v>1017.36</v>
      </c>
      <c r="K31" s="11">
        <f t="shared" si="2"/>
        <v>0</v>
      </c>
      <c r="L31" s="12"/>
      <c r="M31" s="51"/>
      <c r="N31" s="51"/>
      <c r="O31" s="52"/>
      <c r="S31" s="45"/>
    </row>
    <row r="32" spans="1:21" x14ac:dyDescent="0.2">
      <c r="A32" s="45"/>
      <c r="B32" s="49"/>
      <c r="C32" s="8">
        <v>23</v>
      </c>
      <c r="D32" s="28"/>
      <c r="E32" s="29" t="s">
        <v>30</v>
      </c>
      <c r="F32" s="28">
        <v>50</v>
      </c>
      <c r="G32" s="10" t="s">
        <v>4</v>
      </c>
      <c r="H32" s="9">
        <f>IF(AND($B$10="LV",E32="SINGLE CORE"),VLOOKUP('Cable TRAY VER.1.1'!F32,Sheet1!$E$4:$F$23,2,0),IF(AND($B$10="LV",E32="MULTI CORE"),VLOOKUP(F32,Sheet1!$A$4:$B$20,2,0),IF(AND('Cable TRAY VER.1.1'!$B$10="MV",'Cable TRAY VER.1.1'!E32="SINGLE CORE"),VLOOKUP('Cable TRAY VER.1.1'!F32,Sheet1!$A$70:$L$81,12,0),IF(AND('Cable TRAY VER.1.1'!$B$10="MV",'Cable TRAY VER.1.1'!E32="MULTI CORE"),VLOOKUP('Cable TRAY VER.1.1'!F32,Sheet1!$A$87:$L$95,12,0),FALSE))))</f>
        <v>36</v>
      </c>
      <c r="I32" s="9">
        <f t="shared" si="0"/>
        <v>0</v>
      </c>
      <c r="J32" s="9">
        <f t="shared" si="1"/>
        <v>1017.36</v>
      </c>
      <c r="K32" s="11">
        <f t="shared" si="2"/>
        <v>0</v>
      </c>
      <c r="L32" s="12"/>
      <c r="M32" s="51"/>
      <c r="N32" s="51"/>
      <c r="O32" s="52"/>
      <c r="S32" s="45"/>
    </row>
    <row r="33" spans="1:19" x14ac:dyDescent="0.2">
      <c r="A33" s="45"/>
      <c r="B33" s="49"/>
      <c r="C33" s="8">
        <v>24</v>
      </c>
      <c r="D33" s="28"/>
      <c r="E33" s="29" t="s">
        <v>30</v>
      </c>
      <c r="F33" s="28">
        <v>50</v>
      </c>
      <c r="G33" s="10" t="s">
        <v>4</v>
      </c>
      <c r="H33" s="9">
        <f>IF(AND($B$10="LV",E33="SINGLE CORE"),VLOOKUP('Cable TRAY VER.1.1'!F33,Sheet1!$E$4:$F$23,2,0),IF(AND($B$10="LV",E33="MULTI CORE"),VLOOKUP(F33,Sheet1!$A$4:$B$20,2,0),IF(AND('Cable TRAY VER.1.1'!$B$10="MV",'Cable TRAY VER.1.1'!E33="SINGLE CORE"),VLOOKUP('Cable TRAY VER.1.1'!F33,Sheet1!$A$70:$L$81,12,0),IF(AND('Cable TRAY VER.1.1'!$B$10="MV",'Cable TRAY VER.1.1'!E33="MULTI CORE"),VLOOKUP('Cable TRAY VER.1.1'!F33,Sheet1!$A$87:$L$95,12,0),FALSE))))</f>
        <v>36</v>
      </c>
      <c r="I33" s="9">
        <f t="shared" si="0"/>
        <v>0</v>
      </c>
      <c r="J33" s="9">
        <f t="shared" si="1"/>
        <v>1017.36</v>
      </c>
      <c r="K33" s="11">
        <f t="shared" si="2"/>
        <v>0</v>
      </c>
      <c r="L33" s="12"/>
      <c r="M33" s="51"/>
      <c r="N33" s="51"/>
      <c r="O33" s="52"/>
      <c r="S33" s="45"/>
    </row>
    <row r="34" spans="1:19" x14ac:dyDescent="0.2">
      <c r="A34" s="45"/>
      <c r="B34" s="50"/>
      <c r="C34" s="15">
        <v>25</v>
      </c>
      <c r="D34" s="32"/>
      <c r="E34" s="33" t="s">
        <v>32</v>
      </c>
      <c r="F34" s="32">
        <v>50</v>
      </c>
      <c r="G34" s="17" t="s">
        <v>4</v>
      </c>
      <c r="H34" s="16">
        <f>IF(AND($B$10="LV",E34="SINGLE CORE"),VLOOKUP('Cable TRAY VER.1.1'!F34,Sheet1!$E$4:$F$23,2,0),IF(AND($B$10="LV",E34="MULTI CORE"),VLOOKUP(F34,Sheet1!$A$4:$B$20,2,0),IF(AND('Cable TRAY VER.1.1'!$B$10="MV",'Cable TRAY VER.1.1'!E34="SINGLE CORE"),VLOOKUP('Cable TRAY VER.1.1'!F34,Sheet1!$A$70:$L$81,12,0),IF(AND('Cable TRAY VER.1.1'!$B$10="MV",'Cable TRAY VER.1.1'!E34="MULTI CORE"),VLOOKUP('Cable TRAY VER.1.1'!F34,Sheet1!$A$87:$L$95,12,0),FALSE))))</f>
        <v>64</v>
      </c>
      <c r="I34" s="16">
        <f t="shared" si="0"/>
        <v>0</v>
      </c>
      <c r="J34" s="16">
        <f t="shared" si="1"/>
        <v>3215.36</v>
      </c>
      <c r="K34" s="18">
        <f t="shared" si="2"/>
        <v>0</v>
      </c>
      <c r="L34" s="19"/>
      <c r="M34" s="53"/>
      <c r="N34" s="53"/>
      <c r="O34" s="54"/>
      <c r="S34" s="45"/>
    </row>
    <row r="35" spans="1:19" hidden="1" x14ac:dyDescent="0.2">
      <c r="H35" s="1">
        <f>SUM(H10:H34)</f>
        <v>1033</v>
      </c>
      <c r="I35" s="1">
        <f>SUM(I10:I34)</f>
        <v>9618</v>
      </c>
      <c r="K35" s="20">
        <f>SUM(K10:K34)</f>
        <v>713966.92</v>
      </c>
    </row>
    <row r="36" spans="1:19" ht="41.45" customHeight="1" x14ac:dyDescent="0.2">
      <c r="A36" s="43" t="s">
        <v>51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19" ht="24" customHeight="1" x14ac:dyDescent="0.2">
      <c r="A37" s="42" t="s">
        <v>39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</row>
  </sheetData>
  <sheetProtection algorithmName="SHA-512" hashValue="aEQ1t0fU/2Az8UtpxjP4+zCBanamTKJRBdxPpdwdFvyPDlkvouBUg9VT8p6b/jTWzFwksNPK/7DHBv+9EY+u4g==" saltValue="IdQyHKf668OhbfnRUaHL3g==" spinCount="100000" sheet="1" objects="1" scenarios="1" selectLockedCells="1"/>
  <customSheetViews>
    <customSheetView guid="{AA22313F-40A1-444E-9115-9C808CBE1FCA}" showPageBreaks="1" hiddenRows="1" hiddenColumns="1">
      <selection activeCell="A2" sqref="A2:N34"/>
      <pageMargins left="0.7" right="0.7" top="0.75" bottom="0.75" header="0.3" footer="0.3"/>
      <printOptions horizontalCentered="1" verticalCentered="1"/>
      <pageSetup orientation="portrait" r:id="rId1"/>
    </customSheetView>
    <customSheetView guid="{4E5CA08E-3683-4D14-8408-F5D4B305651C}" showPageBreaks="1" hiddenRows="1" hiddenColumns="1">
      <selection activeCell="V14" sqref="V14"/>
      <pageMargins left="0.7" right="0.7" top="0.75" bottom="0.75" header="0.3" footer="0.3"/>
      <printOptions horizontalCentered="1" verticalCentered="1"/>
      <pageSetup orientation="portrait" r:id="rId2"/>
    </customSheetView>
  </customSheetViews>
  <mergeCells count="34">
    <mergeCell ref="M10:N12"/>
    <mergeCell ref="M4:O6"/>
    <mergeCell ref="M7:O9"/>
    <mergeCell ref="O10:O12"/>
    <mergeCell ref="H7:H9"/>
    <mergeCell ref="L7:L9"/>
    <mergeCell ref="E4:K6"/>
    <mergeCell ref="K7:K9"/>
    <mergeCell ref="J7:J9"/>
    <mergeCell ref="L4:L6"/>
    <mergeCell ref="M23:N25"/>
    <mergeCell ref="O23:O25"/>
    <mergeCell ref="M16:O16"/>
    <mergeCell ref="M13:N15"/>
    <mergeCell ref="O13:O15"/>
    <mergeCell ref="M17:O19"/>
    <mergeCell ref="M20:N22"/>
    <mergeCell ref="O20:O22"/>
    <mergeCell ref="B4:B6"/>
    <mergeCell ref="B7:B9"/>
    <mergeCell ref="B10:B11"/>
    <mergeCell ref="A37:S37"/>
    <mergeCell ref="A36:S36"/>
    <mergeCell ref="S1:S34"/>
    <mergeCell ref="A1:A34"/>
    <mergeCell ref="B1:O2"/>
    <mergeCell ref="C3:O3"/>
    <mergeCell ref="P22:Q22"/>
    <mergeCell ref="B12:B34"/>
    <mergeCell ref="M26:O34"/>
    <mergeCell ref="C7:D9"/>
    <mergeCell ref="C4:D6"/>
    <mergeCell ref="E7:G9"/>
    <mergeCell ref="I7:I9"/>
  </mergeCells>
  <conditionalFormatting sqref="M23:N25">
    <cfRule type="containsText" dxfId="10" priority="12" operator="containsText" text="More than 10 trays too much">
      <formula>NOT(ISERROR(SEARCH("More than 10 trays too much",M23)))</formula>
    </cfRule>
    <cfRule type="containsText" dxfId="9" priority="13" operator="containsText" text="&quot;More than 10 trays too much&quot;">
      <formula>NOT(ISERROR(SEARCH("""More than 10 trays too much""",M23)))</formula>
    </cfRule>
  </conditionalFormatting>
  <conditionalFormatting sqref="M13:N15">
    <cfRule type="expression" dxfId="8" priority="6">
      <formula>"IF(ISNA(L13)""0000"",1111111)"</formula>
    </cfRule>
    <cfRule type="expression" dxfId="7" priority="7">
      <formula>"IF(ISNA(L13),""Cable size incorrect"",FALSE)"</formula>
    </cfRule>
    <cfRule type="containsText" dxfId="6" priority="10" operator="containsText" text="More than 10 trays too much">
      <formula>NOT(ISERROR(SEARCH("More than 10 trays too much",M13)))</formula>
    </cfRule>
    <cfRule type="containsText" dxfId="5" priority="11" operator="containsText" text="&quot;More than 10 trays too much&quot;">
      <formula>NOT(ISERROR(SEARCH("""More than 10 trays too much""",M13)))</formula>
    </cfRule>
  </conditionalFormatting>
  <conditionalFormatting sqref="H11">
    <cfRule type="containsText" dxfId="4" priority="8" operator="containsText" text="#N/A">
      <formula>NOT(ISERROR(SEARCH("#N/A",H11)))</formula>
    </cfRule>
  </conditionalFormatting>
  <conditionalFormatting sqref="C3">
    <cfRule type="containsText" dxfId="3" priority="1" operator="containsText" text="Ok">
      <formula>NOT(ISERROR(SEARCH("Ok",C3)))</formula>
    </cfRule>
    <cfRule type="containsText" dxfId="2" priority="2" operator="containsText" text="Incorrect cable sizes">
      <formula>NOT(ISERROR(SEARCH("Incorrect cable sizes",C3)))</formula>
    </cfRule>
    <cfRule type="containsText" dxfId="1" priority="3" operator="containsText" text="Incorrect cable sizes">
      <formula>NOT(ISERROR(SEARCH("Incorrect cable sizes",C3)))</formula>
    </cfRule>
    <cfRule type="iconSet" priority="4">
      <iconSet iconSet="3Symbols2">
        <cfvo type="percent" val="0"/>
        <cfvo type="percent" val="33"/>
        <cfvo type="percent" val="67"/>
      </iconSet>
    </cfRule>
    <cfRule type="containsText" dxfId="0" priority="5" operator="containsText" text="Incorrect cable sizes">
      <formula>NOT(ISERROR(SEARCH("Incorrect cable sizes",C3)))</formula>
    </cfRule>
  </conditionalFormatting>
  <printOptions horizontalCentered="1" verticalCentered="1"/>
  <pageMargins left="0.7" right="0.7" top="0.75" bottom="0.75" header="0.3" footer="0.3"/>
  <pageSetup scale="76" orientation="portrait" r:id="rId3"/>
  <colBreaks count="1" manualBreakCount="1">
    <brk id="19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Sheet1!$B$38:$B$49</xm:f>
          </x14:formula1>
          <xm:sqref>O23:O25</xm:sqref>
        </x14:dataValidation>
        <x14:dataValidation type="list" allowBlank="1" showInputMessage="1" showErrorMessage="1" xr:uid="{00000000-0002-0000-0100-000001000000}">
          <x14:formula1>
            <xm:f>Sheet1!$M$3:$M$4</xm:f>
          </x14:formula1>
          <xm:sqref>B10:B11</xm:sqref>
        </x14:dataValidation>
        <x14:dataValidation type="list" allowBlank="1" showInputMessage="1" showErrorMessage="1" xr:uid="{00000000-0002-0000-0100-000002000000}">
          <x14:formula1>
            <xm:f>Sheet1!$L$3:$L$4</xm:f>
          </x14:formula1>
          <xm:sqref>E10:E34</xm:sqref>
        </x14:dataValidation>
        <x14:dataValidation type="list" allowBlank="1" showInputMessage="1" showErrorMessage="1" xr:uid="{00000000-0002-0000-0100-000003000000}">
          <x14:formula1>
            <xm:f>Sheet1!$I$3:$I$23</xm:f>
          </x14:formula1>
          <xm:sqref>F10:F34</xm:sqref>
        </x14:dataValidation>
        <x14:dataValidation type="list" allowBlank="1" showInputMessage="1" showErrorMessage="1" xr:uid="{00000000-0002-0000-0100-000004000000}">
          <x14:formula1>
            <xm:f>Sheet1!$A$97:$A$196</xm:f>
          </x14:formula1>
          <xm:sqref>D10:D34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"/>
  <sheetData/>
  <customSheetViews>
    <customSheetView guid="{AA22313F-40A1-444E-9115-9C808CBE1FCA}">
      <pageMargins left="0.7" right="0.7" top="0.75" bottom="0.75" header="0.3" footer="0.3"/>
    </customSheetView>
    <customSheetView guid="{4E5CA08E-3683-4D14-8408-F5D4B305651C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Cable TRAY VER.1.1</vt:lpstr>
      <vt:lpstr>Sheet3</vt:lpstr>
      <vt:lpstr>Cable TRAY VER.1.1!Print_Area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Mehmood Akhtar</dc:creator>
  <cp:lastModifiedBy>M_Sleem</cp:lastModifiedBy>
  <cp:lastPrinted>2013-10-20T12:52:51Z</cp:lastPrinted>
  <dcterms:created xsi:type="dcterms:W3CDTF">2013-09-24T07:33:34Z</dcterms:created>
  <dcterms:modified xsi:type="dcterms:W3CDTF">2013-10-20T20:04:26Z</dcterms:modified>
</cp:coreProperties>
</file>