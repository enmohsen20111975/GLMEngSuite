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ectrical Excel Tools (1.1.18)\"/>
    </mc:Choice>
  </mc:AlternateContent>
  <xr:revisionPtr revIDLastSave="0" documentId="13_ncr:1000001_{CF6801DC-8477-AC49-BC16-9BEEDF856B10}" xr6:coauthVersionLast="47" xr6:coauthVersionMax="47" xr10:uidLastSave="{00000000-0000-0000-0000-000000000000}"/>
  <bookViews>
    <workbookView xWindow="390" yWindow="615" windowWidth="19440" windowHeight="9150" tabRatio="44" xr2:uid="{00000000-000D-0000-FFFF-FFFF00000000}"/>
  </bookViews>
  <sheets>
    <sheet name="Required Fixture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" l="1"/>
  <c r="K7" i="2"/>
  <c r="K33" i="2"/>
  <c r="K27" i="2"/>
  <c r="K28" i="2"/>
  <c r="K12" i="2"/>
  <c r="K23" i="2"/>
  <c r="D17" i="2"/>
  <c r="D19" i="2"/>
  <c r="K34" i="2"/>
  <c r="K29" i="2"/>
  <c r="D20" i="2"/>
  <c r="D18" i="2"/>
  <c r="D21" i="2"/>
  <c r="D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JIGS</author>
  </authors>
  <commentList>
    <comment ref="K2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For Direct Lighting=0.4 to 0.6
Indirect Lighting=0.1 To 0.35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Mf =0.6 To 0.8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<sst xmlns="http://schemas.openxmlformats.org/spreadsheetml/2006/main" count="89" uniqueCount="69">
  <si>
    <t/>
  </si>
  <si>
    <t>Sq.Ft</t>
  </si>
  <si>
    <t>Nos</t>
  </si>
  <si>
    <t>Watt</t>
  </si>
  <si>
    <t>Required Fixture Spacing</t>
  </si>
  <si>
    <t>Total Kw</t>
  </si>
  <si>
    <t>Watts per Sq.Ft</t>
  </si>
  <si>
    <t>Feet</t>
  </si>
  <si>
    <t>Required Fixtures</t>
  </si>
  <si>
    <t>Required Lamps</t>
  </si>
  <si>
    <t>Kw</t>
  </si>
  <si>
    <t>:Results:</t>
  </si>
  <si>
    <t>Energy Cost per Year</t>
  </si>
  <si>
    <t>Room Index</t>
  </si>
  <si>
    <t>Required Lux: (E)</t>
  </si>
  <si>
    <t>Width: (w)</t>
  </si>
  <si>
    <t>Length:(L)</t>
  </si>
  <si>
    <t>Height: (h)</t>
  </si>
  <si>
    <t xml:space="preserve">Working Level: </t>
  </si>
  <si>
    <t>Fixture hanging Level :</t>
  </si>
  <si>
    <t>Meter</t>
  </si>
  <si>
    <t>Actual Height: (Hm)</t>
  </si>
  <si>
    <t>Reflection Factors:</t>
  </si>
  <si>
    <t>Ceiling Reflection Factor:</t>
  </si>
  <si>
    <t>Wall Reflection Factor:</t>
  </si>
  <si>
    <t>Floor Reflection Factor:</t>
  </si>
  <si>
    <t>Room Index: (K)</t>
  </si>
  <si>
    <t>Utilization Factor: (Uf)</t>
  </si>
  <si>
    <t>Maintenance Factor: (Mf)</t>
  </si>
  <si>
    <t>Type of Luminaire / Fixtures:</t>
  </si>
  <si>
    <t>Type of Fixture:</t>
  </si>
  <si>
    <t>No of Lamps per Fixture: (n)</t>
  </si>
  <si>
    <t>Lamp Watt:</t>
  </si>
  <si>
    <t>Lamp Flux:</t>
  </si>
  <si>
    <t>Required No of Fixtures:</t>
  </si>
  <si>
    <t>Required No of Fixtures along Length:</t>
  </si>
  <si>
    <t>Actual No of Fixtures along Length:</t>
  </si>
  <si>
    <t>Required No of Fixtures across Length:</t>
  </si>
  <si>
    <t>Actual No of Fixtures across Length:</t>
  </si>
  <si>
    <t>Actual No of Fixtures:</t>
  </si>
  <si>
    <t>Type of Lamp:</t>
  </si>
  <si>
    <t>Actual Lux:</t>
  </si>
  <si>
    <t>Calculate No of Fixtures as per Sq.Ft Area</t>
  </si>
  <si>
    <t>Calculate No of Fixtures / Lux for Indoor Lighting</t>
  </si>
  <si>
    <t>Illuminated Area:</t>
  </si>
  <si>
    <t>Desired Footcandles:</t>
  </si>
  <si>
    <t>No of Lamps per Fixture:</t>
  </si>
  <si>
    <t>Each Fixture Watts:</t>
  </si>
  <si>
    <t>Ballast Factor:</t>
  </si>
  <si>
    <t>Rated mean Lumens per Lamp:</t>
  </si>
  <si>
    <t>Coefficient of Utilization:</t>
  </si>
  <si>
    <t>Fixtures Burning hours per Year:</t>
  </si>
  <si>
    <t>Energy Rate (Rs.Per Kwh):</t>
  </si>
  <si>
    <t>Lumen</t>
  </si>
  <si>
    <t>Jignesh.Parmar</t>
  </si>
  <si>
    <t>jiguparmar@yhaoo.com</t>
  </si>
  <si>
    <t>www.electricalnotes.wordpress.com</t>
  </si>
  <si>
    <t>Good &amp; Clear Condition</t>
  </si>
  <si>
    <t>Average Condition</t>
  </si>
  <si>
    <t>Poor &amp; Dirty Condition</t>
  </si>
  <si>
    <t xml:space="preserve"> 0.7 To 0.8</t>
  </si>
  <si>
    <t>0.6 To 0.7</t>
  </si>
  <si>
    <t>0.5 To 0.6</t>
  </si>
  <si>
    <t>Ceiling Reflection Factor</t>
  </si>
  <si>
    <t>Light &amp; Very Light Color</t>
  </si>
  <si>
    <t>Light Color</t>
  </si>
  <si>
    <t>Dark Color</t>
  </si>
  <si>
    <t>Medium Color</t>
  </si>
  <si>
    <t>Wall &amp; Floor Reflection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</si>
</sst>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रु-439]\ #,##0.00"/>
  </numFmts>
  <fonts count="18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2060"/>
      <name val="Arial"/>
      <family val="2"/>
    </font>
    <font>
      <u/>
      <sz val="10"/>
      <color theme="10"/>
      <name val="Arial"/>
      <family val="2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6"/>
      <color rgb="FF0000FF"/>
      <name val="Arial Narrow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4"/>
      <color rgb="FF0000FF"/>
      <name val="Arial"/>
      <family val="2"/>
    </font>
    <font>
      <sz val="14"/>
      <color rgb="FF0000FF"/>
      <name val="Arial"/>
      <family val="2"/>
    </font>
    <font>
      <b/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0" fillId="2" borderId="9" xfId="0" applyFill="1" applyBorder="1" applyAlignment="1" applyProtection="1">
      <alignment horizontal="center" vertical="center" wrapText="1"/>
      <protection locked="0"/>
    </xf>
    <xf numFmtId="165" fontId="0" fillId="2" borderId="9" xfId="0" applyNumberFormat="1" applyFill="1" applyBorder="1" applyAlignment="1" applyProtection="1">
      <alignment horizontal="center" vertical="center" wrapText="1"/>
      <protection locked="0"/>
    </xf>
    <xf numFmtId="0" fontId="0" fillId="3" borderId="3" xfId="0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0" xfId="0" applyFill="1" applyBorder="1" applyAlignment="1">
      <alignment horizontal="left" vertical="center" wrapText="1"/>
    </xf>
    <xf numFmtId="0" fontId="0" fillId="3" borderId="4" xfId="0" applyFill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 wrapText="1"/>
    </xf>
    <xf numFmtId="164" fontId="2" fillId="3" borderId="0" xfId="0" applyNumberFormat="1" applyFont="1" applyFill="1" applyBorder="1" applyAlignment="1">
      <alignment horizontal="center" vertical="center" wrapText="1"/>
    </xf>
    <xf numFmtId="2" fontId="2" fillId="3" borderId="0" xfId="0" applyNumberFormat="1" applyFont="1" applyFill="1" applyBorder="1" applyAlignment="1">
      <alignment horizontal="center" vertical="center" wrapText="1"/>
    </xf>
    <xf numFmtId="165" fontId="2" fillId="3" borderId="0" xfId="0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" fontId="0" fillId="3" borderId="0" xfId="0" applyNumberFormat="1" applyFill="1" applyBorder="1" applyAlignment="1">
      <alignment horizontal="center" vertical="center" wrapText="1"/>
    </xf>
    <xf numFmtId="0" fontId="0" fillId="3" borderId="0" xfId="0" applyFill="1" applyBorder="1" applyAlignment="1" applyProtection="1">
      <alignment horizontal="center" vertical="center" wrapText="1"/>
      <protection locked="0"/>
    </xf>
    <xf numFmtId="0" fontId="1" fillId="3" borderId="0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wrapText="1"/>
    </xf>
    <xf numFmtId="0" fontId="8" fillId="3" borderId="0" xfId="0" applyFont="1" applyFill="1" applyAlignment="1">
      <alignment horizontal="center" wrapText="1"/>
    </xf>
    <xf numFmtId="0" fontId="7" fillId="3" borderId="0" xfId="0" applyFont="1" applyFill="1" applyAlignment="1">
      <alignment vertical="center" wrapText="1"/>
    </xf>
    <xf numFmtId="0" fontId="13" fillId="3" borderId="0" xfId="1" applyFont="1" applyFill="1" applyBorder="1" applyAlignment="1" applyProtection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13" fillId="3" borderId="0" xfId="1" applyFont="1" applyFill="1" applyBorder="1" applyAlignment="1" applyProtection="1">
      <alignment horizontal="center"/>
    </xf>
    <xf numFmtId="0" fontId="15" fillId="3" borderId="0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vertical="center" wrapText="1"/>
    </xf>
    <xf numFmtId="1" fontId="15" fillId="3" borderId="0" xfId="0" applyNumberFormat="1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vertical="center" wrapText="1"/>
    </xf>
    <xf numFmtId="0" fontId="17" fillId="3" borderId="6" xfId="0" applyFont="1" applyFill="1" applyBorder="1" applyAlignment="1" applyProtection="1">
      <alignment vertical="center" wrapText="1"/>
    </xf>
    <xf numFmtId="0" fontId="17" fillId="3" borderId="6" xfId="0" applyFont="1" applyFill="1" applyBorder="1" applyAlignment="1">
      <alignment vertical="center" wrapText="1"/>
    </xf>
    <xf numFmtId="0" fontId="17" fillId="3" borderId="0" xfId="0" applyFont="1" applyFill="1" applyBorder="1" applyAlignment="1">
      <alignment vertical="center" wrapText="1"/>
    </xf>
    <xf numFmtId="0" fontId="8" fillId="3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4" fillId="3" borderId="0" xfId="0" applyFont="1" applyFill="1" applyAlignment="1">
      <alignment horizontal="center" wrapText="1"/>
    </xf>
    <xf numFmtId="0" fontId="12" fillId="3" borderId="0" xfId="0" applyFont="1" applyFill="1" applyBorder="1" applyAlignment="1">
      <alignment horizontal="center" vertical="center" wrapText="1"/>
    </xf>
    <xf numFmtId="0" fontId="0" fillId="3" borderId="8" xfId="0" applyFill="1" applyBorder="1"/>
    <xf numFmtId="0" fontId="0" fillId="3" borderId="1" xfId="0" applyFill="1" applyBorder="1"/>
    <xf numFmtId="0" fontId="0" fillId="3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00FF"/>
      <color rgb="FFFFFFCC"/>
      <color rgb="FF7AF3F6"/>
      <color rgb="FF29FF29"/>
      <color rgb="FF74F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200025</xdr:colOff>
      <xdr:row>1</xdr:row>
      <xdr:rowOff>9525</xdr:rowOff>
    </xdr:from>
    <xdr:to>
      <xdr:col>15</xdr:col>
      <xdr:colOff>95250</xdr:colOff>
      <xdr:row>7</xdr:row>
      <xdr:rowOff>69850</xdr:rowOff>
    </xdr:to>
    <xdr:pic>
      <xdr:nvPicPr>
        <xdr:cNvPr id="2" name="Picture 1" descr="imagesCAU51AR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10725" y="171450"/>
          <a:ext cx="1114425" cy="111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electricalnotes.wordpress.com/" TargetMode="External" /><Relationship Id="rId5" Type="http://schemas.openxmlformats.org/officeDocument/2006/relationships/comments" Target="../comments1.xml" /><Relationship Id="rId4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1"/>
  <sheetViews>
    <sheetView showGridLines="0" tabSelected="1" topLeftCell="A3" zoomScale="90" zoomScaleNormal="90" workbookViewId="0">
      <selection activeCell="R12" sqref="R12"/>
    </sheetView>
  </sheetViews>
  <sheetFormatPr defaultColWidth="9.16796875" defaultRowHeight="12.75" customHeight="1" x14ac:dyDescent="0.15"/>
  <cols>
    <col min="1" max="1" width="2.2890625" style="2" customWidth="1"/>
    <col min="2" max="2" width="2.42578125" style="2" customWidth="1"/>
    <col min="3" max="3" width="38.43359375" style="1" customWidth="1"/>
    <col min="4" max="4" width="12.13671875" style="1" customWidth="1"/>
    <col min="5" max="5" width="7.55078125" style="1" customWidth="1"/>
    <col min="6" max="6" width="2.6953125" style="2" customWidth="1"/>
    <col min="7" max="7" width="2.01953125" style="2" customWidth="1"/>
    <col min="8" max="8" width="3.37109375" style="2" customWidth="1"/>
    <col min="9" max="9" width="35.87109375" style="2" customWidth="1"/>
    <col min="10" max="10" width="2.828125" style="2" customWidth="1"/>
    <col min="11" max="11" width="19.28125" style="1" customWidth="1"/>
    <col min="12" max="12" width="9.3046875" style="2" customWidth="1"/>
    <col min="13" max="13" width="2.828125" style="2" customWidth="1"/>
    <col min="16" max="16" width="10.65234375" customWidth="1"/>
    <col min="17" max="17" width="8.76171875" customWidth="1"/>
    <col min="18" max="18" width="11.4609375" customWidth="1"/>
  </cols>
  <sheetData>
    <row r="1" spans="1:30" ht="6.75" customHeight="1" thickBot="1" x14ac:dyDescent="0.2">
      <c r="A1" s="3"/>
      <c r="B1" s="3"/>
      <c r="C1" s="4"/>
      <c r="D1" s="4"/>
      <c r="E1" s="4"/>
      <c r="F1" s="3"/>
      <c r="G1" s="3"/>
      <c r="H1" s="3"/>
      <c r="I1" s="3"/>
      <c r="J1" s="3"/>
      <c r="K1" s="4"/>
      <c r="L1" s="3"/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5.25" customHeight="1" x14ac:dyDescent="0.15">
      <c r="A2" s="6" t="s">
        <v>0</v>
      </c>
      <c r="B2" s="59"/>
      <c r="C2" s="58"/>
      <c r="D2" s="58"/>
      <c r="E2" s="58"/>
      <c r="F2" s="60"/>
      <c r="G2" s="7"/>
      <c r="H2" s="29"/>
      <c r="I2" s="58"/>
      <c r="J2" s="58"/>
      <c r="K2" s="58"/>
      <c r="L2" s="58"/>
      <c r="M2" s="33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24.75" customHeight="1" x14ac:dyDescent="0.15">
      <c r="A3" s="3"/>
      <c r="B3" s="12"/>
      <c r="C3" s="57" t="s">
        <v>42</v>
      </c>
      <c r="D3" s="57"/>
      <c r="E3" s="57"/>
      <c r="F3" s="22"/>
      <c r="G3" s="7"/>
      <c r="H3" s="12"/>
      <c r="I3" s="57" t="s">
        <v>43</v>
      </c>
      <c r="J3" s="57"/>
      <c r="K3" s="57"/>
      <c r="L3" s="57"/>
      <c r="M3" s="2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2.75" customHeight="1" x14ac:dyDescent="0.15">
      <c r="A4" s="7"/>
      <c r="B4" s="12"/>
      <c r="C4" s="8"/>
      <c r="D4" s="8"/>
      <c r="E4" s="8"/>
      <c r="F4" s="22"/>
      <c r="G4" s="7"/>
      <c r="H4" s="12"/>
      <c r="I4" s="7"/>
      <c r="J4" s="7"/>
      <c r="K4" s="8"/>
      <c r="L4" s="7"/>
      <c r="M4" s="22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3.5" customHeight="1" x14ac:dyDescent="0.15">
      <c r="A5" s="7"/>
      <c r="B5" s="12"/>
      <c r="C5" s="16" t="s">
        <v>44</v>
      </c>
      <c r="D5" s="10">
        <v>6600</v>
      </c>
      <c r="E5" s="21" t="s">
        <v>1</v>
      </c>
      <c r="F5" s="22"/>
      <c r="G5" s="7"/>
      <c r="H5" s="12"/>
      <c r="I5" s="53" t="s">
        <v>14</v>
      </c>
      <c r="J5" s="15"/>
      <c r="K5" s="10">
        <v>200</v>
      </c>
      <c r="L5" s="7"/>
      <c r="M5" s="2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3.5" customHeight="1" thickBot="1" x14ac:dyDescent="0.2">
      <c r="A6" s="7"/>
      <c r="B6" s="12"/>
      <c r="C6" s="16" t="s">
        <v>45</v>
      </c>
      <c r="D6" s="10">
        <v>40</v>
      </c>
      <c r="E6" s="21"/>
      <c r="F6" s="22"/>
      <c r="G6" s="7"/>
      <c r="H6" s="12"/>
      <c r="I6" s="52" t="s">
        <v>13</v>
      </c>
      <c r="J6" s="15"/>
      <c r="K6" s="8"/>
      <c r="L6" s="7"/>
      <c r="M6" s="22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3.5" customHeight="1" x14ac:dyDescent="0.15">
      <c r="A7" s="7"/>
      <c r="B7" s="12"/>
      <c r="C7" s="16" t="s">
        <v>46</v>
      </c>
      <c r="D7" s="10">
        <v>2</v>
      </c>
      <c r="E7" s="21" t="s">
        <v>2</v>
      </c>
      <c r="F7" s="22"/>
      <c r="G7" s="7"/>
      <c r="H7" s="12"/>
      <c r="I7" s="13" t="s">
        <v>16</v>
      </c>
      <c r="J7" s="13"/>
      <c r="K7" s="10">
        <f>21/3</f>
        <v>7</v>
      </c>
      <c r="L7" s="13" t="s">
        <v>20</v>
      </c>
      <c r="M7" s="22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3.5" customHeight="1" x14ac:dyDescent="0.15">
      <c r="A8" s="7"/>
      <c r="B8" s="12"/>
      <c r="C8" s="16" t="s">
        <v>47</v>
      </c>
      <c r="D8" s="10">
        <v>56</v>
      </c>
      <c r="E8" s="21" t="s">
        <v>3</v>
      </c>
      <c r="F8" s="22"/>
      <c r="G8" s="7"/>
      <c r="H8" s="12"/>
      <c r="I8" s="13" t="s">
        <v>15</v>
      </c>
      <c r="J8" s="13"/>
      <c r="K8" s="10">
        <f>12/3</f>
        <v>4</v>
      </c>
      <c r="L8" s="13" t="s">
        <v>20</v>
      </c>
      <c r="M8" s="22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3.5" customHeight="1" x14ac:dyDescent="0.15">
      <c r="A9" s="7"/>
      <c r="B9" s="12"/>
      <c r="C9" s="16" t="s">
        <v>48</v>
      </c>
      <c r="D9" s="10">
        <v>0.88</v>
      </c>
      <c r="E9" s="21"/>
      <c r="F9" s="22"/>
      <c r="G9" s="7"/>
      <c r="H9" s="12"/>
      <c r="I9" s="13" t="s">
        <v>17</v>
      </c>
      <c r="J9" s="13"/>
      <c r="K9" s="10">
        <v>3</v>
      </c>
      <c r="L9" s="13" t="s">
        <v>20</v>
      </c>
      <c r="M9" s="22"/>
      <c r="N9" s="39"/>
      <c r="O9" s="39"/>
      <c r="P9" s="39"/>
      <c r="Q9" s="39"/>
      <c r="R9" s="39"/>
      <c r="S9" s="39"/>
      <c r="T9" s="39"/>
      <c r="U9" s="39"/>
      <c r="V9" s="5"/>
      <c r="W9" s="5"/>
      <c r="X9" s="5"/>
      <c r="Y9" s="5"/>
      <c r="Z9" s="5"/>
      <c r="AA9" s="5"/>
      <c r="AB9" s="5"/>
      <c r="AC9" s="5"/>
      <c r="AD9" s="5"/>
    </row>
    <row r="10" spans="1:30" ht="13.5" customHeight="1" x14ac:dyDescent="0.15">
      <c r="A10" s="7"/>
      <c r="B10" s="12"/>
      <c r="C10" s="16" t="s">
        <v>49</v>
      </c>
      <c r="D10" s="10">
        <v>2650</v>
      </c>
      <c r="E10" s="21"/>
      <c r="F10" s="22"/>
      <c r="G10" s="7"/>
      <c r="H10" s="12"/>
      <c r="I10" s="13" t="s">
        <v>18</v>
      </c>
      <c r="J10" s="13"/>
      <c r="K10" s="10">
        <v>0</v>
      </c>
      <c r="L10" s="13" t="s">
        <v>20</v>
      </c>
      <c r="M10" s="22"/>
      <c r="N10" s="39"/>
      <c r="O10" s="56" t="s">
        <v>22</v>
      </c>
      <c r="P10" s="56"/>
      <c r="Q10" s="56"/>
      <c r="R10" s="56"/>
      <c r="S10" s="39"/>
      <c r="T10" s="39"/>
      <c r="U10" s="39"/>
      <c r="V10" s="5"/>
      <c r="W10" s="5"/>
      <c r="X10" s="5"/>
      <c r="Y10" s="5"/>
      <c r="Z10" s="5"/>
      <c r="AA10" s="5"/>
      <c r="AB10" s="5"/>
      <c r="AC10" s="5"/>
      <c r="AD10" s="5"/>
    </row>
    <row r="11" spans="1:30" ht="13.5" customHeight="1" x14ac:dyDescent="0.15">
      <c r="A11" s="3"/>
      <c r="B11" s="12"/>
      <c r="C11" s="16" t="s">
        <v>50</v>
      </c>
      <c r="D11" s="10">
        <v>0.6</v>
      </c>
      <c r="E11" s="21"/>
      <c r="F11" s="22"/>
      <c r="G11" s="7"/>
      <c r="H11" s="12"/>
      <c r="I11" s="13" t="s">
        <v>19</v>
      </c>
      <c r="J11" s="13"/>
      <c r="K11" s="10">
        <v>0</v>
      </c>
      <c r="L11" s="13" t="s">
        <v>20</v>
      </c>
      <c r="M11" s="22"/>
      <c r="N11" s="39"/>
      <c r="O11" s="55" t="s">
        <v>63</v>
      </c>
      <c r="P11" s="55"/>
      <c r="Q11" s="55"/>
      <c r="R11" s="39"/>
      <c r="S11" s="39"/>
      <c r="T11" s="39"/>
      <c r="U11" s="39"/>
      <c r="V11" s="5"/>
      <c r="W11" s="5"/>
      <c r="X11" s="5"/>
      <c r="Y11" s="5"/>
      <c r="Z11" s="5"/>
      <c r="AA11" s="5"/>
      <c r="AB11" s="5"/>
      <c r="AC11" s="5"/>
      <c r="AD11" s="5"/>
    </row>
    <row r="12" spans="1:30" ht="13.5" customHeight="1" x14ac:dyDescent="0.15">
      <c r="A12" s="7"/>
      <c r="B12" s="12"/>
      <c r="C12" s="16" t="s">
        <v>51</v>
      </c>
      <c r="D12" s="10">
        <v>3200</v>
      </c>
      <c r="E12" s="21"/>
      <c r="F12" s="22"/>
      <c r="G12" s="7"/>
      <c r="H12" s="12"/>
      <c r="I12" s="13" t="s">
        <v>21</v>
      </c>
      <c r="J12" s="13"/>
      <c r="K12" s="30">
        <f>SUM((K9-K11)-K10)</f>
        <v>3</v>
      </c>
      <c r="L12" s="13" t="s">
        <v>20</v>
      </c>
      <c r="M12" s="22"/>
      <c r="N12" s="39"/>
      <c r="O12" s="54" t="s">
        <v>64</v>
      </c>
      <c r="P12" s="54"/>
      <c r="Q12" s="54"/>
      <c r="R12" s="40">
        <v>0.7</v>
      </c>
      <c r="S12" s="39"/>
      <c r="T12" s="39"/>
      <c r="U12" s="39"/>
      <c r="V12" s="5"/>
      <c r="W12" s="5"/>
      <c r="X12" s="5"/>
      <c r="Y12" s="5"/>
      <c r="Z12" s="5"/>
      <c r="AA12" s="5"/>
      <c r="AB12" s="5"/>
      <c r="AC12" s="5"/>
      <c r="AD12" s="5"/>
    </row>
    <row r="13" spans="1:30" ht="15.75" customHeight="1" thickBot="1" x14ac:dyDescent="0.2">
      <c r="A13" s="7"/>
      <c r="B13" s="12"/>
      <c r="C13" s="16" t="s">
        <v>52</v>
      </c>
      <c r="D13" s="11">
        <v>0.1</v>
      </c>
      <c r="E13" s="21"/>
      <c r="F13" s="22"/>
      <c r="G13" s="7"/>
      <c r="H13" s="12"/>
      <c r="I13" s="52" t="s">
        <v>22</v>
      </c>
      <c r="J13" s="15"/>
      <c r="K13" s="8"/>
      <c r="L13" s="7"/>
      <c r="M13" s="22"/>
      <c r="N13" s="39"/>
      <c r="O13" s="54" t="s">
        <v>65</v>
      </c>
      <c r="P13" s="54"/>
      <c r="Q13" s="54"/>
      <c r="R13" s="40">
        <v>0.5</v>
      </c>
      <c r="S13" s="39"/>
      <c r="T13" s="39"/>
      <c r="U13" s="39"/>
      <c r="V13" s="5"/>
      <c r="W13" s="5"/>
      <c r="X13" s="5"/>
      <c r="Y13" s="5"/>
      <c r="Z13" s="5"/>
      <c r="AA13" s="5"/>
      <c r="AB13" s="5"/>
      <c r="AC13" s="5"/>
      <c r="AD13" s="5"/>
    </row>
    <row r="14" spans="1:30" ht="13.5" customHeight="1" x14ac:dyDescent="0.15">
      <c r="A14" s="7"/>
      <c r="B14" s="12"/>
      <c r="C14" s="8"/>
      <c r="D14" s="8"/>
      <c r="E14" s="21"/>
      <c r="F14" s="22"/>
      <c r="G14" s="7"/>
      <c r="H14" s="12"/>
      <c r="I14" s="13" t="s">
        <v>23</v>
      </c>
      <c r="J14" s="13"/>
      <c r="K14" s="10">
        <v>0.5</v>
      </c>
      <c r="L14" s="7"/>
      <c r="M14" s="22"/>
      <c r="N14" s="39"/>
      <c r="O14" s="54" t="s">
        <v>67</v>
      </c>
      <c r="P14" s="54"/>
      <c r="Q14" s="54"/>
      <c r="R14" s="40">
        <v>0.3</v>
      </c>
      <c r="S14" s="39"/>
      <c r="T14" s="39"/>
      <c r="U14" s="39"/>
      <c r="V14" s="5"/>
      <c r="W14" s="5"/>
      <c r="X14" s="5"/>
      <c r="Y14" s="5"/>
      <c r="Z14" s="5"/>
      <c r="AA14" s="5"/>
      <c r="AB14" s="5"/>
      <c r="AC14" s="5"/>
      <c r="AD14" s="5"/>
    </row>
    <row r="15" spans="1:30" ht="13.5" customHeight="1" thickBot="1" x14ac:dyDescent="0.2">
      <c r="A15" s="7"/>
      <c r="B15" s="12"/>
      <c r="C15" s="51" t="s">
        <v>11</v>
      </c>
      <c r="D15" s="8"/>
      <c r="E15" s="21"/>
      <c r="F15" s="22"/>
      <c r="G15" s="7"/>
      <c r="H15" s="12"/>
      <c r="I15" s="13" t="s">
        <v>24</v>
      </c>
      <c r="J15" s="13"/>
      <c r="K15" s="10">
        <v>0.5</v>
      </c>
      <c r="L15" s="7"/>
      <c r="M15" s="22"/>
      <c r="N15" s="39"/>
      <c r="O15" s="55" t="s">
        <v>68</v>
      </c>
      <c r="P15" s="55"/>
      <c r="Q15" s="55"/>
      <c r="R15" s="39"/>
      <c r="S15" s="39"/>
      <c r="T15" s="39"/>
      <c r="U15" s="39"/>
      <c r="V15" s="5"/>
      <c r="W15" s="5"/>
      <c r="X15" s="5"/>
      <c r="Y15" s="5"/>
      <c r="Z15" s="5"/>
      <c r="AA15" s="5"/>
      <c r="AB15" s="5"/>
      <c r="AC15" s="5"/>
      <c r="AD15" s="5"/>
    </row>
    <row r="16" spans="1:30" ht="13.5" customHeight="1" x14ac:dyDescent="0.15">
      <c r="A16" s="3"/>
      <c r="B16" s="12"/>
      <c r="C16" s="8"/>
      <c r="D16" s="8"/>
      <c r="E16" s="21"/>
      <c r="F16" s="22"/>
      <c r="G16" s="7"/>
      <c r="H16" s="12"/>
      <c r="I16" s="13" t="s">
        <v>25</v>
      </c>
      <c r="J16" s="13"/>
      <c r="K16" s="10">
        <v>0.2</v>
      </c>
      <c r="L16" s="7"/>
      <c r="M16" s="22"/>
      <c r="N16" s="39"/>
      <c r="O16" s="54" t="s">
        <v>64</v>
      </c>
      <c r="P16" s="54"/>
      <c r="Q16" s="54"/>
      <c r="R16" s="40">
        <v>0.5</v>
      </c>
      <c r="S16" s="39"/>
      <c r="T16" s="39"/>
      <c r="U16" s="39"/>
      <c r="V16" s="5"/>
      <c r="W16" s="5"/>
      <c r="X16" s="5"/>
      <c r="Y16" s="5"/>
      <c r="Z16" s="5"/>
      <c r="AA16" s="5"/>
      <c r="AB16" s="5"/>
      <c r="AC16" s="5"/>
      <c r="AD16" s="5"/>
    </row>
    <row r="17" spans="1:30" ht="15.75" customHeight="1" thickBot="1" x14ac:dyDescent="0.2">
      <c r="A17" s="3"/>
      <c r="B17" s="12"/>
      <c r="C17" s="45" t="s">
        <v>8</v>
      </c>
      <c r="D17" s="46">
        <f>ROUNDUP(((D5*D6)/(D10*D9*D7*D11)),0)</f>
        <v>95</v>
      </c>
      <c r="E17" s="45" t="s">
        <v>2</v>
      </c>
      <c r="F17" s="22"/>
      <c r="G17" s="7"/>
      <c r="H17" s="12"/>
      <c r="I17" s="52" t="s">
        <v>29</v>
      </c>
      <c r="J17" s="15"/>
      <c r="K17" s="8"/>
      <c r="L17" s="7"/>
      <c r="M17" s="22"/>
      <c r="N17" s="39"/>
      <c r="O17" s="54" t="s">
        <v>67</v>
      </c>
      <c r="P17" s="54"/>
      <c r="Q17" s="54"/>
      <c r="R17" s="40">
        <v>0.3</v>
      </c>
      <c r="S17" s="39"/>
      <c r="T17" s="39"/>
      <c r="U17" s="39"/>
      <c r="V17" s="5"/>
      <c r="W17" s="5"/>
      <c r="X17" s="5"/>
      <c r="Y17" s="5"/>
      <c r="Z17" s="5"/>
      <c r="AA17" s="5"/>
      <c r="AB17" s="5"/>
      <c r="AC17" s="5"/>
      <c r="AD17" s="5"/>
    </row>
    <row r="18" spans="1:30" ht="13.5" customHeight="1" x14ac:dyDescent="0.15">
      <c r="A18" s="3"/>
      <c r="B18" s="12"/>
      <c r="C18" s="18" t="s">
        <v>9</v>
      </c>
      <c r="D18" s="23">
        <f>D17*D7</f>
        <v>190</v>
      </c>
      <c r="E18" s="18" t="s">
        <v>2</v>
      </c>
      <c r="F18" s="22"/>
      <c r="G18" s="7"/>
      <c r="H18" s="12"/>
      <c r="I18" s="13" t="s">
        <v>30</v>
      </c>
      <c r="J18" s="13"/>
      <c r="K18" s="10"/>
      <c r="L18" s="7"/>
      <c r="M18" s="22"/>
      <c r="N18" s="39"/>
      <c r="O18" s="54" t="s">
        <v>66</v>
      </c>
      <c r="P18" s="54"/>
      <c r="Q18" s="54"/>
      <c r="R18" s="40">
        <v>0.1</v>
      </c>
      <c r="S18" s="39"/>
      <c r="T18" s="39"/>
      <c r="U18" s="39"/>
      <c r="V18" s="5"/>
      <c r="W18" s="5"/>
      <c r="X18" s="5"/>
      <c r="Y18" s="5"/>
      <c r="Z18" s="5"/>
      <c r="AA18" s="5"/>
      <c r="AB18" s="5"/>
      <c r="AC18" s="5"/>
      <c r="AD18" s="5"/>
    </row>
    <row r="19" spans="1:30" ht="13.5" customHeight="1" x14ac:dyDescent="0.15">
      <c r="A19" s="3"/>
      <c r="B19" s="12"/>
      <c r="C19" s="18" t="s">
        <v>4</v>
      </c>
      <c r="D19" s="24">
        <f>SQRT(D5/D17)</f>
        <v>8.3350875346649076</v>
      </c>
      <c r="E19" s="18" t="s">
        <v>7</v>
      </c>
      <c r="F19" s="22"/>
      <c r="G19" s="7"/>
      <c r="H19" s="12"/>
      <c r="I19" s="13" t="s">
        <v>40</v>
      </c>
      <c r="J19" s="13"/>
      <c r="K19" s="10"/>
      <c r="L19" s="7"/>
      <c r="M19" s="22"/>
      <c r="N19" s="39"/>
      <c r="O19" s="39"/>
      <c r="P19" s="39"/>
      <c r="Q19" s="39"/>
      <c r="R19" s="39"/>
      <c r="S19" s="39"/>
      <c r="T19" s="39"/>
      <c r="U19" s="39"/>
      <c r="V19" s="5"/>
      <c r="W19" s="5"/>
      <c r="X19" s="5"/>
      <c r="Y19" s="5"/>
      <c r="Z19" s="5"/>
      <c r="AA19" s="5"/>
      <c r="AB19" s="5"/>
      <c r="AC19" s="5"/>
      <c r="AD19" s="5"/>
    </row>
    <row r="20" spans="1:30" ht="13.5" customHeight="1" x14ac:dyDescent="0.15">
      <c r="A20" s="3"/>
      <c r="B20" s="12"/>
      <c r="C20" s="18" t="s">
        <v>5</v>
      </c>
      <c r="D20" s="24">
        <f>(D17*D8)/1000</f>
        <v>5.32</v>
      </c>
      <c r="E20" s="18" t="s">
        <v>10</v>
      </c>
      <c r="F20" s="22"/>
      <c r="G20" s="7"/>
      <c r="H20" s="12"/>
      <c r="I20" s="13" t="s">
        <v>31</v>
      </c>
      <c r="J20" s="13"/>
      <c r="K20" s="10">
        <v>1</v>
      </c>
      <c r="L20" s="13" t="s">
        <v>2</v>
      </c>
      <c r="M20" s="22"/>
      <c r="N20" s="39"/>
      <c r="O20" s="56" t="s">
        <v>28</v>
      </c>
      <c r="P20" s="56"/>
      <c r="Q20" s="56"/>
      <c r="R20" s="56"/>
      <c r="S20" s="39"/>
      <c r="T20" s="39"/>
      <c r="U20" s="39"/>
      <c r="V20" s="5"/>
      <c r="W20" s="5"/>
      <c r="X20" s="5"/>
      <c r="Y20" s="5"/>
      <c r="Z20" s="5"/>
      <c r="AA20" s="5"/>
      <c r="AB20" s="5"/>
      <c r="AC20" s="5"/>
      <c r="AD20" s="5"/>
    </row>
    <row r="21" spans="1:30" ht="13.5" customHeight="1" x14ac:dyDescent="0.15">
      <c r="A21" s="3"/>
      <c r="B21" s="12"/>
      <c r="C21" s="18" t="s">
        <v>6</v>
      </c>
      <c r="D21" s="25">
        <f>(D20*1000)/D5</f>
        <v>0.80606060606060603</v>
      </c>
      <c r="E21" s="23"/>
      <c r="F21" s="22"/>
      <c r="G21" s="7"/>
      <c r="H21" s="12"/>
      <c r="I21" s="13" t="s">
        <v>32</v>
      </c>
      <c r="J21" s="13"/>
      <c r="K21" s="10">
        <v>15</v>
      </c>
      <c r="L21" s="13" t="s">
        <v>3</v>
      </c>
      <c r="M21" s="22"/>
      <c r="N21" s="39"/>
      <c r="O21" s="54" t="s">
        <v>57</v>
      </c>
      <c r="P21" s="54"/>
      <c r="Q21" s="54"/>
      <c r="R21" s="34" t="s">
        <v>60</v>
      </c>
      <c r="S21" s="39"/>
      <c r="T21" s="39"/>
      <c r="U21" s="39"/>
      <c r="V21" s="5"/>
      <c r="W21" s="5"/>
      <c r="X21" s="5"/>
      <c r="Y21" s="5"/>
      <c r="Z21" s="5"/>
      <c r="AA21" s="5"/>
      <c r="AB21" s="5"/>
      <c r="AC21" s="5"/>
      <c r="AD21" s="5"/>
    </row>
    <row r="22" spans="1:30" ht="13.5" customHeight="1" x14ac:dyDescent="0.15">
      <c r="A22" s="3"/>
      <c r="B22" s="12"/>
      <c r="C22" s="18" t="s">
        <v>12</v>
      </c>
      <c r="D22" s="26">
        <f>D20*D12*D13</f>
        <v>1702.4</v>
      </c>
      <c r="E22" s="23"/>
      <c r="F22" s="22"/>
      <c r="G22" s="7"/>
      <c r="H22" s="12"/>
      <c r="I22" s="13" t="s">
        <v>33</v>
      </c>
      <c r="J22" s="13"/>
      <c r="K22" s="10">
        <v>1500</v>
      </c>
      <c r="L22" s="32" t="s">
        <v>53</v>
      </c>
      <c r="M22" s="22"/>
      <c r="N22" s="39"/>
      <c r="O22" s="54" t="s">
        <v>58</v>
      </c>
      <c r="P22" s="54"/>
      <c r="Q22" s="54"/>
      <c r="R22" s="37" t="s">
        <v>61</v>
      </c>
      <c r="S22" s="39"/>
      <c r="T22" s="39"/>
      <c r="U22" s="39"/>
      <c r="V22" s="5"/>
      <c r="W22" s="5"/>
      <c r="X22" s="5"/>
      <c r="Y22" s="5"/>
      <c r="Z22" s="5"/>
      <c r="AA22" s="5"/>
      <c r="AB22" s="5"/>
      <c r="AC22" s="5"/>
      <c r="AD22" s="5"/>
    </row>
    <row r="23" spans="1:30" ht="13.5" customHeight="1" thickBot="1" x14ac:dyDescent="0.2">
      <c r="A23" s="3"/>
      <c r="B23" s="19"/>
      <c r="C23" s="27"/>
      <c r="D23" s="27"/>
      <c r="E23" s="27"/>
      <c r="F23" s="28"/>
      <c r="G23" s="7"/>
      <c r="H23" s="12"/>
      <c r="I23" s="13" t="s">
        <v>26</v>
      </c>
      <c r="J23" s="13"/>
      <c r="K23" s="8">
        <f>(K7*K8)/(K12*(K7+K8))</f>
        <v>0.84848484848484851</v>
      </c>
      <c r="L23" s="8"/>
      <c r="M23" s="22"/>
      <c r="N23" s="39"/>
      <c r="O23" s="54" t="s">
        <v>59</v>
      </c>
      <c r="P23" s="54"/>
      <c r="Q23" s="54"/>
      <c r="R23" s="37" t="s">
        <v>62</v>
      </c>
      <c r="S23" s="39"/>
      <c r="T23" s="39"/>
      <c r="U23" s="39"/>
      <c r="V23" s="5"/>
      <c r="W23" s="5"/>
      <c r="X23" s="5"/>
      <c r="Y23" s="5"/>
      <c r="Z23" s="5"/>
      <c r="AA23" s="5"/>
      <c r="AB23" s="5"/>
      <c r="AC23" s="5"/>
      <c r="AD23" s="5"/>
    </row>
    <row r="24" spans="1:30" ht="13.5" customHeight="1" x14ac:dyDescent="0.15">
      <c r="A24" s="3"/>
      <c r="B24" s="3"/>
      <c r="C24" s="4"/>
      <c r="D24" s="4"/>
      <c r="E24" s="4"/>
      <c r="F24" s="3"/>
      <c r="G24" s="3"/>
      <c r="H24" s="12"/>
      <c r="I24" s="13" t="s">
        <v>27</v>
      </c>
      <c r="J24" s="13"/>
      <c r="K24" s="10">
        <v>0.48</v>
      </c>
      <c r="L24" s="7"/>
      <c r="M24" s="22"/>
      <c r="N24" s="39"/>
      <c r="O24" s="39"/>
      <c r="P24" s="39"/>
      <c r="Q24" s="39"/>
      <c r="R24" s="39"/>
      <c r="S24" s="39"/>
      <c r="T24" s="39"/>
      <c r="U24" s="39"/>
      <c r="V24" s="5"/>
      <c r="W24" s="5"/>
      <c r="X24" s="5"/>
      <c r="Y24" s="5"/>
      <c r="Z24" s="5"/>
      <c r="AA24" s="5"/>
      <c r="AB24" s="5"/>
      <c r="AC24" s="5"/>
      <c r="AD24" s="5"/>
    </row>
    <row r="25" spans="1:30" ht="13.5" customHeight="1" x14ac:dyDescent="0.15">
      <c r="A25" s="3"/>
      <c r="B25" s="3"/>
      <c r="C25" s="42" t="s">
        <v>54</v>
      </c>
      <c r="D25" s="43"/>
      <c r="E25" s="4"/>
      <c r="F25" s="3"/>
      <c r="G25" s="3"/>
      <c r="H25" s="12"/>
      <c r="I25" s="13" t="s">
        <v>28</v>
      </c>
      <c r="J25" s="13"/>
      <c r="K25" s="10">
        <v>0.6</v>
      </c>
      <c r="L25" s="7"/>
      <c r="M25" s="22"/>
      <c r="N25" s="39"/>
      <c r="O25" s="39"/>
      <c r="P25" s="39"/>
      <c r="Q25" s="39"/>
      <c r="R25" s="39"/>
      <c r="S25" s="39"/>
      <c r="T25" s="39"/>
      <c r="U25" s="39"/>
      <c r="V25" s="5"/>
      <c r="W25" s="5"/>
      <c r="X25" s="5"/>
      <c r="Y25" s="5"/>
      <c r="Z25" s="5"/>
      <c r="AA25" s="5"/>
      <c r="AB25" s="5"/>
      <c r="AC25" s="5"/>
      <c r="AD25" s="5"/>
    </row>
    <row r="26" spans="1:30" ht="12.75" customHeight="1" thickBot="1" x14ac:dyDescent="0.2">
      <c r="A26" s="3"/>
      <c r="B26" s="3"/>
      <c r="C26" s="44" t="s">
        <v>55</v>
      </c>
      <c r="D26" s="43"/>
      <c r="E26" s="4"/>
      <c r="F26" s="3"/>
      <c r="G26" s="3"/>
      <c r="H26" s="12"/>
      <c r="I26" s="14" t="s">
        <v>11</v>
      </c>
      <c r="J26" s="15"/>
      <c r="K26" s="8"/>
      <c r="L26" s="7"/>
      <c r="M26" s="22"/>
      <c r="N26" s="39"/>
      <c r="O26" s="39"/>
      <c r="P26" s="39"/>
      <c r="Q26" s="39"/>
      <c r="R26" s="41"/>
      <c r="S26" s="39"/>
      <c r="T26" s="39"/>
      <c r="U26" s="39"/>
      <c r="V26" s="5"/>
      <c r="W26" s="5"/>
      <c r="X26" s="5"/>
      <c r="Y26" s="5"/>
      <c r="Z26" s="5"/>
      <c r="AA26" s="5"/>
      <c r="AB26" s="5"/>
      <c r="AC26" s="5"/>
      <c r="AD26" s="5"/>
    </row>
    <row r="27" spans="1:30" ht="18" x14ac:dyDescent="0.15">
      <c r="A27" s="3"/>
      <c r="B27" s="3"/>
      <c r="C27" s="44" t="s">
        <v>56</v>
      </c>
      <c r="D27" s="43"/>
      <c r="E27" s="4"/>
      <c r="F27" s="3"/>
      <c r="G27" s="3"/>
      <c r="H27" s="12"/>
      <c r="I27" s="45" t="s">
        <v>34</v>
      </c>
      <c r="J27" s="47"/>
      <c r="K27" s="49">
        <f>(K5*K7*K8)/(K22*K20*K24*K25)</f>
        <v>12.962962962962964</v>
      </c>
      <c r="L27" s="48" t="s">
        <v>2</v>
      </c>
      <c r="M27" s="22"/>
      <c r="N27" s="39"/>
      <c r="O27" s="39"/>
      <c r="P27" s="39"/>
      <c r="Q27" s="39"/>
      <c r="R27" s="39"/>
      <c r="S27" s="39"/>
      <c r="T27" s="39"/>
      <c r="U27" s="39"/>
      <c r="V27" s="5"/>
      <c r="W27" s="5"/>
      <c r="X27" s="5"/>
      <c r="Y27" s="5"/>
      <c r="Z27" s="5"/>
      <c r="AA27" s="5"/>
      <c r="AB27" s="5"/>
      <c r="AC27" s="5"/>
      <c r="AD27" s="5"/>
    </row>
    <row r="28" spans="1:30" ht="13.5" customHeight="1" x14ac:dyDescent="0.15">
      <c r="A28" s="3"/>
      <c r="B28" s="3"/>
      <c r="C28" s="9"/>
      <c r="D28" s="8"/>
      <c r="E28" s="4"/>
      <c r="F28" s="3"/>
      <c r="G28" s="3"/>
      <c r="H28" s="12"/>
      <c r="I28" s="16" t="s">
        <v>35</v>
      </c>
      <c r="J28" s="16"/>
      <c r="K28" s="30">
        <f>((K27*K7)/K8)^0.5</f>
        <v>4.762896722078402</v>
      </c>
      <c r="L28" s="13" t="s">
        <v>2</v>
      </c>
      <c r="M28" s="22"/>
      <c r="N28" s="39"/>
      <c r="O28" s="39"/>
      <c r="P28" s="39"/>
      <c r="Q28" s="39"/>
      <c r="R28" s="39"/>
      <c r="S28" s="39"/>
      <c r="T28" s="39"/>
      <c r="U28" s="39"/>
      <c r="V28" s="5"/>
      <c r="W28" s="5"/>
      <c r="X28" s="5"/>
      <c r="Y28" s="5"/>
      <c r="Z28" s="5"/>
      <c r="AA28" s="5"/>
      <c r="AB28" s="5"/>
      <c r="AC28" s="5"/>
      <c r="AD28" s="5"/>
    </row>
    <row r="29" spans="1:30" ht="13.5" customHeight="1" x14ac:dyDescent="0.15">
      <c r="A29" s="3"/>
      <c r="B29" s="3"/>
      <c r="C29" s="8"/>
      <c r="D29" s="8"/>
      <c r="E29" s="4"/>
      <c r="F29" s="3"/>
      <c r="G29" s="3"/>
      <c r="H29" s="12"/>
      <c r="I29" s="16" t="s">
        <v>37</v>
      </c>
      <c r="J29" s="16"/>
      <c r="K29" s="30">
        <f>((K27*K8)/K7)^0.5</f>
        <v>2.7216552697590868</v>
      </c>
      <c r="L29" s="13" t="s">
        <v>2</v>
      </c>
      <c r="M29" s="22"/>
      <c r="N29" s="39"/>
      <c r="O29" s="39"/>
      <c r="P29" s="39"/>
      <c r="Q29" s="39"/>
      <c r="R29" s="39"/>
      <c r="S29" s="39"/>
      <c r="T29" s="39"/>
      <c r="U29" s="39"/>
      <c r="V29" s="5"/>
      <c r="W29" s="5"/>
      <c r="X29" s="5"/>
      <c r="Y29" s="5"/>
      <c r="Z29" s="5"/>
      <c r="AA29" s="5"/>
      <c r="AB29" s="5"/>
      <c r="AC29" s="5"/>
      <c r="AD29" s="5"/>
    </row>
    <row r="30" spans="1:30" ht="13.5" customHeight="1" x14ac:dyDescent="0.15">
      <c r="A30" s="3"/>
      <c r="B30" s="3"/>
      <c r="C30" s="4"/>
      <c r="D30" s="4"/>
      <c r="E30" s="4"/>
      <c r="F30" s="3"/>
      <c r="G30" s="3"/>
      <c r="H30" s="12"/>
      <c r="I30" s="16" t="s">
        <v>36</v>
      </c>
      <c r="J30" s="16"/>
      <c r="K30" s="10">
        <v>3</v>
      </c>
      <c r="L30" s="13" t="s">
        <v>2</v>
      </c>
      <c r="M30" s="22"/>
      <c r="N30" s="39"/>
      <c r="O30" s="39"/>
      <c r="P30" s="39"/>
      <c r="Q30" s="39"/>
      <c r="R30" s="39"/>
      <c r="S30" s="39"/>
      <c r="T30" s="39"/>
      <c r="U30" s="39"/>
      <c r="V30" s="5"/>
      <c r="W30" s="5"/>
      <c r="X30" s="5"/>
      <c r="Y30" s="5"/>
      <c r="Z30" s="5"/>
      <c r="AA30" s="5"/>
      <c r="AB30" s="5"/>
      <c r="AC30" s="5"/>
      <c r="AD30" s="5"/>
    </row>
    <row r="31" spans="1:30" ht="13.5" customHeight="1" x14ac:dyDescent="0.15">
      <c r="A31" s="3"/>
      <c r="B31" s="3"/>
      <c r="C31" s="4"/>
      <c r="D31" s="4"/>
      <c r="E31" s="4"/>
      <c r="F31" s="3"/>
      <c r="G31" s="3"/>
      <c r="H31" s="12"/>
      <c r="I31" s="16" t="s">
        <v>38</v>
      </c>
      <c r="J31" s="16"/>
      <c r="K31" s="10">
        <v>3</v>
      </c>
      <c r="L31" s="13" t="s">
        <v>2</v>
      </c>
      <c r="M31" s="22"/>
      <c r="N31" s="39"/>
      <c r="O31" s="39"/>
      <c r="P31" s="39"/>
      <c r="Q31" s="39"/>
      <c r="R31" s="39"/>
      <c r="S31" s="39"/>
      <c r="T31" s="39"/>
      <c r="U31" s="39"/>
      <c r="V31" s="5"/>
      <c r="W31" s="5"/>
      <c r="X31" s="5"/>
      <c r="Y31" s="5"/>
      <c r="Z31" s="5"/>
      <c r="AA31" s="5"/>
      <c r="AB31" s="5"/>
      <c r="AC31" s="5"/>
      <c r="AD31" s="5"/>
    </row>
    <row r="32" spans="1:30" ht="10.5" customHeight="1" thickBot="1" x14ac:dyDescent="0.2">
      <c r="A32" s="3"/>
      <c r="B32" s="3"/>
      <c r="C32" s="4"/>
      <c r="D32" s="4"/>
      <c r="E32" s="4"/>
      <c r="F32" s="3"/>
      <c r="G32" s="3"/>
      <c r="H32" s="12"/>
      <c r="I32" s="17"/>
      <c r="J32" s="16"/>
      <c r="K32" s="31"/>
      <c r="L32" s="13"/>
      <c r="M32" s="22"/>
      <c r="N32" s="39"/>
      <c r="O32" s="39"/>
      <c r="P32" s="39"/>
      <c r="Q32" s="39"/>
      <c r="R32" s="39"/>
      <c r="S32" s="39"/>
      <c r="T32" s="39"/>
      <c r="U32" s="39"/>
      <c r="V32" s="5"/>
      <c r="W32" s="5"/>
      <c r="X32" s="5"/>
      <c r="Y32" s="5"/>
      <c r="Z32" s="5"/>
      <c r="AA32" s="5"/>
      <c r="AB32" s="5"/>
      <c r="AC32" s="5"/>
      <c r="AD32" s="5"/>
    </row>
    <row r="33" spans="1:30" ht="18" x14ac:dyDescent="0.15">
      <c r="A33" s="3"/>
      <c r="B33" s="3"/>
      <c r="C33" s="4"/>
      <c r="D33" s="4"/>
      <c r="E33" s="4"/>
      <c r="F33" s="3"/>
      <c r="G33" s="3"/>
      <c r="H33" s="12"/>
      <c r="I33" s="45" t="s">
        <v>39</v>
      </c>
      <c r="J33" s="47"/>
      <c r="K33" s="46">
        <f>K30*K31</f>
        <v>9</v>
      </c>
      <c r="L33" s="48" t="s">
        <v>2</v>
      </c>
      <c r="M33" s="22"/>
      <c r="N33" s="39"/>
      <c r="O33" s="39"/>
      <c r="P33" s="39"/>
      <c r="Q33" s="39"/>
      <c r="R33" s="39"/>
      <c r="S33" s="39"/>
      <c r="T33" s="39"/>
      <c r="U33" s="39"/>
      <c r="V33" s="5"/>
      <c r="W33" s="5"/>
      <c r="X33" s="5"/>
      <c r="Y33" s="5"/>
      <c r="Z33" s="5"/>
      <c r="AA33" s="5"/>
      <c r="AB33" s="5"/>
      <c r="AC33" s="5"/>
      <c r="AD33" s="5"/>
    </row>
    <row r="34" spans="1:30" ht="18" x14ac:dyDescent="0.15">
      <c r="A34" s="3"/>
      <c r="B34" s="3"/>
      <c r="C34" s="4"/>
      <c r="D34" s="4"/>
      <c r="E34" s="4"/>
      <c r="F34" s="3"/>
      <c r="G34" s="3"/>
      <c r="H34" s="12"/>
      <c r="I34" s="45" t="s">
        <v>41</v>
      </c>
      <c r="J34" s="47"/>
      <c r="K34" s="49">
        <f>ROUND(((K33*K5)/K27),0)</f>
        <v>139</v>
      </c>
      <c r="L34" s="50"/>
      <c r="M34" s="22"/>
      <c r="N34" s="39"/>
      <c r="O34" s="39"/>
      <c r="P34" s="39"/>
      <c r="Q34" s="39"/>
      <c r="R34" s="39"/>
      <c r="S34" s="39"/>
      <c r="T34" s="39"/>
      <c r="U34" s="39"/>
      <c r="V34" s="5"/>
      <c r="W34" s="5"/>
      <c r="X34" s="5"/>
      <c r="Y34" s="5"/>
      <c r="Z34" s="5"/>
      <c r="AA34" s="5"/>
      <c r="AB34" s="5"/>
      <c r="AC34" s="5"/>
      <c r="AD34" s="5"/>
    </row>
    <row r="35" spans="1:30" ht="12.75" customHeight="1" thickBot="1" x14ac:dyDescent="0.2">
      <c r="A35" s="3"/>
      <c r="B35" s="3"/>
      <c r="C35" s="4"/>
      <c r="D35" s="4"/>
      <c r="E35" s="4"/>
      <c r="F35" s="3"/>
      <c r="G35" s="3"/>
      <c r="H35" s="19"/>
      <c r="I35" s="20"/>
      <c r="J35" s="20"/>
      <c r="K35" s="27"/>
      <c r="L35" s="20"/>
      <c r="M35" s="28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  <c r="AA35" s="5"/>
      <c r="AB35" s="5"/>
      <c r="AC35" s="5"/>
      <c r="AD35" s="5"/>
    </row>
    <row r="36" spans="1:30" ht="12.75" customHeight="1" x14ac:dyDescent="0.15">
      <c r="A36" s="3"/>
      <c r="B36" s="3"/>
      <c r="C36" s="4"/>
      <c r="D36" s="4"/>
      <c r="E36" s="4"/>
      <c r="F36" s="3"/>
      <c r="G36" s="3"/>
      <c r="H36" s="3"/>
      <c r="I36" s="3"/>
      <c r="J36" s="3"/>
      <c r="K36" s="4"/>
      <c r="L36" s="3"/>
      <c r="M36" s="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2.75" customHeight="1" x14ac:dyDescent="0.15">
      <c r="A37" s="3"/>
      <c r="B37" s="3"/>
      <c r="C37" s="4"/>
      <c r="D37" s="4"/>
      <c r="E37" s="4"/>
      <c r="F37" s="3"/>
      <c r="G37" s="3"/>
      <c r="H37" s="3"/>
      <c r="I37" s="3"/>
      <c r="J37" s="3"/>
      <c r="K37" s="4"/>
      <c r="L37" s="3"/>
      <c r="M37" s="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2.75" customHeight="1" x14ac:dyDescent="0.15">
      <c r="A38" s="3"/>
      <c r="B38" s="3"/>
      <c r="C38" s="4"/>
      <c r="D38" s="4"/>
      <c r="E38" s="4"/>
      <c r="F38" s="3"/>
      <c r="G38" s="3"/>
      <c r="H38" s="3"/>
      <c r="I38" s="3"/>
      <c r="J38" s="3"/>
      <c r="K38" s="4"/>
      <c r="L38" s="3"/>
      <c r="M38" s="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2.75" customHeight="1" x14ac:dyDescent="0.15">
      <c r="A39" s="3"/>
      <c r="B39" s="3"/>
      <c r="C39" s="4"/>
      <c r="D39" s="4"/>
      <c r="E39" s="4"/>
      <c r="F39" s="3"/>
      <c r="G39" s="3"/>
      <c r="H39" s="3"/>
      <c r="I39" s="3"/>
      <c r="J39" s="3"/>
      <c r="K39" s="4"/>
      <c r="L39" s="3"/>
      <c r="M39" s="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.75" customHeight="1" x14ac:dyDescent="0.15">
      <c r="A40" s="3"/>
      <c r="B40" s="3"/>
      <c r="C40" s="4"/>
      <c r="D40" s="4"/>
      <c r="E40" s="4"/>
      <c r="F40" s="3"/>
      <c r="G40" s="3"/>
      <c r="H40" s="3"/>
      <c r="I40" s="3"/>
      <c r="J40" s="3"/>
      <c r="K40" s="4"/>
      <c r="L40" s="3"/>
      <c r="M40" s="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2.75" customHeight="1" x14ac:dyDescent="0.15">
      <c r="A41" s="3"/>
      <c r="B41" s="3"/>
      <c r="C41" s="4"/>
      <c r="D41" s="4"/>
      <c r="E41" s="4"/>
      <c r="F41" s="3"/>
      <c r="G41" s="3"/>
      <c r="H41" s="3"/>
      <c r="I41" s="3"/>
      <c r="J41" s="3"/>
      <c r="K41" s="4"/>
      <c r="L41" s="3"/>
      <c r="M41" s="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.75" customHeight="1" x14ac:dyDescent="0.15">
      <c r="A42" s="3"/>
      <c r="B42" s="3"/>
      <c r="C42" s="4"/>
      <c r="D42" s="4"/>
      <c r="E42" s="4"/>
      <c r="F42" s="3"/>
      <c r="G42" s="3"/>
      <c r="H42" s="3"/>
      <c r="I42" s="3"/>
      <c r="J42" s="3"/>
      <c r="K42" s="4"/>
      <c r="L42" s="3"/>
      <c r="M42" s="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2.75" customHeight="1" x14ac:dyDescent="0.15">
      <c r="A43" s="3"/>
      <c r="B43" s="3"/>
      <c r="C43" s="4"/>
      <c r="D43" s="4"/>
      <c r="E43" s="4"/>
      <c r="F43" s="3"/>
      <c r="G43" s="3"/>
      <c r="H43" s="3"/>
      <c r="I43" s="3"/>
      <c r="J43" s="3"/>
      <c r="K43" s="4"/>
      <c r="L43" s="3"/>
      <c r="M43" s="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.75" customHeight="1" x14ac:dyDescent="0.15">
      <c r="A44" s="3"/>
      <c r="B44" s="3"/>
      <c r="C44" s="4"/>
      <c r="D44" s="4"/>
      <c r="E44" s="4"/>
      <c r="F44" s="3"/>
      <c r="G44" s="3"/>
      <c r="H44" s="3"/>
      <c r="I44" s="3"/>
      <c r="J44" s="3"/>
      <c r="K44" s="4"/>
      <c r="L44" s="3"/>
      <c r="M44" s="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2.75" customHeight="1" x14ac:dyDescent="0.15">
      <c r="A45" s="3"/>
      <c r="B45" s="3"/>
      <c r="C45" s="4"/>
      <c r="D45" s="4"/>
      <c r="E45" s="4"/>
      <c r="F45" s="3"/>
      <c r="G45" s="3"/>
      <c r="H45" s="3"/>
      <c r="I45" s="3"/>
      <c r="J45" s="3"/>
      <c r="K45" s="4"/>
      <c r="L45" s="3"/>
      <c r="M45" s="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.75" customHeight="1" x14ac:dyDescent="0.15">
      <c r="A46" s="3"/>
      <c r="B46" s="3"/>
      <c r="C46" s="4"/>
      <c r="D46" s="4"/>
      <c r="E46" s="4"/>
      <c r="F46" s="3"/>
      <c r="G46" s="3"/>
      <c r="H46" s="3"/>
      <c r="I46" s="35"/>
      <c r="J46" s="3"/>
      <c r="K46" s="38"/>
      <c r="L46" s="3"/>
      <c r="M46" s="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2.75" customHeight="1" x14ac:dyDescent="0.15">
      <c r="A47" s="3"/>
      <c r="B47" s="3"/>
      <c r="C47" s="4"/>
      <c r="D47" s="4"/>
      <c r="E47" s="4"/>
      <c r="F47" s="3"/>
      <c r="G47" s="3"/>
      <c r="H47" s="3"/>
      <c r="I47" s="36"/>
      <c r="J47" s="3"/>
      <c r="K47" s="34"/>
      <c r="L47" s="3"/>
      <c r="M47" s="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2.75" customHeight="1" x14ac:dyDescent="0.15">
      <c r="A48" s="3"/>
      <c r="B48" s="3"/>
      <c r="C48" s="4"/>
      <c r="D48" s="4"/>
      <c r="E48" s="4"/>
      <c r="F48" s="3"/>
      <c r="G48" s="3"/>
      <c r="H48" s="3"/>
      <c r="I48" s="36"/>
      <c r="J48" s="3"/>
      <c r="K48" s="37"/>
      <c r="L48" s="3"/>
      <c r="M48" s="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.75" customHeight="1" x14ac:dyDescent="0.15">
      <c r="A49" s="3"/>
      <c r="B49" s="3"/>
      <c r="C49" s="4"/>
      <c r="D49" s="4"/>
      <c r="E49" s="4"/>
      <c r="F49" s="3"/>
      <c r="G49" s="3"/>
      <c r="H49" s="3"/>
      <c r="I49" s="36"/>
      <c r="J49" s="3"/>
      <c r="K49" s="37"/>
      <c r="L49" s="3"/>
      <c r="M49" s="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2.75" customHeight="1" x14ac:dyDescent="0.15">
      <c r="A50" s="3"/>
      <c r="B50" s="3"/>
      <c r="C50" s="4"/>
      <c r="D50" s="4"/>
      <c r="E50" s="4"/>
      <c r="F50" s="3"/>
      <c r="G50" s="3"/>
      <c r="H50" s="3"/>
      <c r="I50" s="3"/>
      <c r="J50" s="3"/>
      <c r="K50" s="4"/>
      <c r="L50" s="3"/>
      <c r="M50" s="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.75" customHeight="1" x14ac:dyDescent="0.15">
      <c r="A51" s="3"/>
      <c r="B51" s="3"/>
      <c r="C51" s="4"/>
      <c r="D51" s="4"/>
      <c r="E51" s="4"/>
      <c r="F51" s="3"/>
      <c r="G51" s="3"/>
      <c r="H51" s="3"/>
      <c r="I51" s="3"/>
      <c r="J51" s="3"/>
      <c r="K51" s="4"/>
      <c r="L51" s="3"/>
      <c r="M51" s="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2.75" customHeight="1" x14ac:dyDescent="0.15">
      <c r="A52" s="3"/>
      <c r="B52" s="3"/>
      <c r="C52" s="4"/>
      <c r="D52" s="4"/>
      <c r="E52" s="4"/>
      <c r="F52" s="3"/>
      <c r="G52" s="3"/>
      <c r="H52" s="3"/>
      <c r="I52" s="3"/>
      <c r="J52" s="3"/>
      <c r="K52" s="4"/>
      <c r="L52" s="3"/>
      <c r="M52" s="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2.75" customHeight="1" x14ac:dyDescent="0.15">
      <c r="A53" s="3"/>
      <c r="B53" s="3"/>
      <c r="C53" s="4"/>
      <c r="D53" s="4"/>
      <c r="E53" s="4"/>
      <c r="F53" s="3"/>
      <c r="G53" s="3"/>
      <c r="H53" s="3"/>
      <c r="I53" s="3"/>
      <c r="J53" s="3"/>
      <c r="K53" s="4"/>
      <c r="L53" s="3"/>
      <c r="M53" s="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2.75" customHeight="1" x14ac:dyDescent="0.15">
      <c r="A54" s="3"/>
      <c r="B54" s="3"/>
      <c r="C54" s="4"/>
      <c r="D54" s="4"/>
      <c r="E54" s="4"/>
      <c r="F54" s="3"/>
      <c r="G54" s="3"/>
      <c r="H54" s="3"/>
      <c r="I54" s="3"/>
      <c r="J54" s="3"/>
      <c r="K54" s="4"/>
      <c r="L54" s="3"/>
      <c r="M54" s="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2.75" customHeight="1" x14ac:dyDescent="0.15">
      <c r="A55" s="3"/>
      <c r="B55" s="3"/>
      <c r="C55" s="4"/>
      <c r="D55" s="4"/>
      <c r="E55" s="4"/>
      <c r="F55" s="3"/>
      <c r="G55" s="3"/>
      <c r="H55" s="3"/>
      <c r="I55" s="3"/>
      <c r="J55" s="3"/>
      <c r="K55" s="4"/>
      <c r="L55" s="3"/>
      <c r="M55" s="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2.75" customHeight="1" x14ac:dyDescent="0.15">
      <c r="A56" s="3"/>
      <c r="B56" s="3"/>
      <c r="C56" s="4"/>
      <c r="D56" s="4"/>
      <c r="E56" s="4"/>
      <c r="F56" s="3"/>
      <c r="G56" s="3"/>
      <c r="H56" s="3"/>
      <c r="I56" s="3"/>
      <c r="J56" s="3"/>
      <c r="K56" s="4"/>
      <c r="L56" s="3"/>
      <c r="M56" s="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2.75" customHeight="1" x14ac:dyDescent="0.15">
      <c r="A57" s="3"/>
      <c r="B57" s="3"/>
      <c r="C57" s="4"/>
      <c r="D57" s="4"/>
      <c r="E57" s="4"/>
      <c r="F57" s="3"/>
      <c r="G57" s="3"/>
      <c r="H57" s="3"/>
      <c r="I57" s="3"/>
      <c r="J57" s="3"/>
      <c r="K57" s="4"/>
      <c r="L57" s="3"/>
      <c r="M57" s="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2.75" customHeight="1" x14ac:dyDescent="0.15">
      <c r="A58" s="3"/>
      <c r="B58" s="3"/>
      <c r="C58" s="4"/>
      <c r="D58" s="4"/>
      <c r="E58" s="4"/>
      <c r="F58" s="3"/>
      <c r="G58" s="3"/>
      <c r="H58" s="3"/>
      <c r="I58" s="3"/>
      <c r="J58" s="3"/>
      <c r="K58" s="4"/>
      <c r="L58" s="3"/>
      <c r="M58" s="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2.75" customHeight="1" x14ac:dyDescent="0.15">
      <c r="A59" s="3"/>
      <c r="B59" s="3"/>
      <c r="C59" s="4"/>
      <c r="D59" s="4"/>
      <c r="E59" s="4"/>
      <c r="F59" s="3"/>
      <c r="G59" s="3"/>
      <c r="H59" s="3"/>
      <c r="I59" s="3"/>
      <c r="J59" s="3"/>
      <c r="K59" s="4"/>
      <c r="L59" s="3"/>
      <c r="M59" s="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2.75" customHeight="1" x14ac:dyDescent="0.15">
      <c r="A60" s="3"/>
      <c r="B60" s="3"/>
      <c r="C60" s="4"/>
      <c r="D60" s="4"/>
      <c r="E60" s="4"/>
      <c r="F60" s="3"/>
      <c r="G60" s="3"/>
      <c r="H60" s="3"/>
      <c r="I60" s="3"/>
      <c r="J60" s="3"/>
      <c r="K60" s="4"/>
      <c r="L60" s="3"/>
      <c r="M60" s="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2.75" customHeight="1" x14ac:dyDescent="0.15">
      <c r="A61" s="3"/>
      <c r="B61" s="3"/>
      <c r="C61" s="4"/>
      <c r="D61" s="4"/>
      <c r="E61" s="4"/>
      <c r="F61" s="3"/>
      <c r="G61" s="3"/>
      <c r="H61" s="3"/>
      <c r="I61" s="3"/>
      <c r="J61" s="3"/>
      <c r="K61" s="4"/>
      <c r="L61" s="3"/>
      <c r="M61" s="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2.75" customHeight="1" x14ac:dyDescent="0.15">
      <c r="A62" s="3"/>
      <c r="B62" s="3"/>
      <c r="C62" s="4"/>
      <c r="D62" s="4"/>
      <c r="E62" s="4"/>
      <c r="F62" s="3"/>
      <c r="G62" s="3"/>
      <c r="H62" s="3"/>
      <c r="I62" s="3"/>
      <c r="J62" s="3"/>
      <c r="K62" s="4"/>
      <c r="L62" s="3"/>
      <c r="M62" s="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2.75" customHeight="1" x14ac:dyDescent="0.15">
      <c r="A63" s="3"/>
      <c r="B63" s="3"/>
      <c r="C63" s="4"/>
      <c r="D63" s="4"/>
      <c r="E63" s="4"/>
      <c r="F63" s="3"/>
      <c r="G63" s="3"/>
      <c r="H63" s="3"/>
      <c r="I63" s="3"/>
      <c r="J63" s="3"/>
      <c r="K63" s="4"/>
      <c r="L63" s="3"/>
      <c r="M63" s="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2.75" customHeight="1" x14ac:dyDescent="0.15">
      <c r="A64" s="3"/>
      <c r="B64" s="3"/>
      <c r="C64" s="4"/>
      <c r="D64" s="4"/>
      <c r="E64" s="4"/>
      <c r="F64" s="3"/>
      <c r="G64" s="3"/>
      <c r="H64" s="3"/>
      <c r="I64" s="3"/>
      <c r="J64" s="3"/>
      <c r="K64" s="4"/>
      <c r="L64" s="3"/>
      <c r="M64" s="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2.75" customHeight="1" x14ac:dyDescent="0.15">
      <c r="A65" s="3"/>
      <c r="B65" s="3"/>
      <c r="C65" s="4"/>
      <c r="D65" s="4"/>
      <c r="E65" s="4"/>
      <c r="F65" s="3"/>
      <c r="G65" s="3"/>
      <c r="H65" s="3"/>
      <c r="I65" s="3"/>
      <c r="J65" s="3"/>
      <c r="K65" s="4"/>
      <c r="L65" s="3"/>
      <c r="M65" s="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2.75" customHeight="1" x14ac:dyDescent="0.15">
      <c r="A66" s="3"/>
      <c r="B66" s="3"/>
      <c r="C66" s="4"/>
      <c r="D66" s="4"/>
      <c r="E66" s="4"/>
      <c r="F66" s="3"/>
      <c r="G66" s="3"/>
      <c r="H66" s="3"/>
      <c r="I66" s="3"/>
      <c r="J66" s="3"/>
      <c r="K66" s="4"/>
      <c r="L66" s="3"/>
      <c r="M66" s="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2.75" customHeight="1" x14ac:dyDescent="0.15">
      <c r="A67" s="3"/>
      <c r="B67" s="3"/>
      <c r="C67" s="4"/>
      <c r="D67" s="4"/>
      <c r="E67" s="4"/>
      <c r="F67" s="3"/>
      <c r="G67" s="3"/>
      <c r="H67" s="3"/>
      <c r="I67" s="3"/>
      <c r="J67" s="3"/>
      <c r="K67" s="4"/>
      <c r="L67" s="3"/>
      <c r="M67" s="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2.75" customHeight="1" x14ac:dyDescent="0.15">
      <c r="A68" s="3"/>
      <c r="B68" s="3"/>
      <c r="C68" s="4"/>
      <c r="D68" s="4"/>
      <c r="E68" s="4"/>
      <c r="F68" s="3"/>
      <c r="G68" s="3"/>
      <c r="H68" s="3"/>
      <c r="I68" s="3"/>
      <c r="J68" s="3"/>
      <c r="K68" s="4"/>
      <c r="L68" s="3"/>
      <c r="M68" s="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2.75" customHeight="1" x14ac:dyDescent="0.15">
      <c r="A69" s="3"/>
      <c r="B69" s="3"/>
      <c r="C69" s="4"/>
      <c r="D69" s="4"/>
      <c r="E69" s="4"/>
      <c r="F69" s="3"/>
      <c r="G69" s="3"/>
      <c r="H69" s="3"/>
      <c r="I69" s="3"/>
      <c r="J69" s="3"/>
      <c r="K69" s="4"/>
      <c r="L69" s="3"/>
      <c r="M69" s="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2.75" customHeight="1" x14ac:dyDescent="0.15">
      <c r="A70" s="3"/>
      <c r="B70" s="3"/>
      <c r="C70" s="4"/>
      <c r="D70" s="4"/>
      <c r="E70" s="4"/>
      <c r="F70" s="3"/>
      <c r="G70" s="3"/>
      <c r="H70" s="3"/>
      <c r="I70" s="3"/>
      <c r="J70" s="3"/>
      <c r="K70" s="4"/>
      <c r="L70" s="3"/>
      <c r="M70" s="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2.75" customHeight="1" x14ac:dyDescent="0.15">
      <c r="A71" s="3"/>
      <c r="B71" s="3"/>
      <c r="C71" s="4"/>
      <c r="D71" s="4"/>
      <c r="E71" s="4"/>
      <c r="F71" s="3"/>
      <c r="G71" s="3"/>
      <c r="H71" s="3"/>
      <c r="I71" s="3"/>
      <c r="J71" s="3"/>
      <c r="K71" s="4"/>
      <c r="L71" s="3"/>
      <c r="M71" s="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2.75" customHeight="1" x14ac:dyDescent="0.15">
      <c r="A72" s="3"/>
      <c r="B72" s="3"/>
      <c r="C72" s="4"/>
      <c r="D72" s="4"/>
      <c r="E72" s="4"/>
      <c r="F72" s="3"/>
      <c r="G72" s="3"/>
      <c r="H72" s="3"/>
      <c r="I72" s="3"/>
      <c r="J72" s="3"/>
      <c r="K72" s="4"/>
      <c r="L72" s="3"/>
      <c r="M72" s="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2.75" customHeight="1" x14ac:dyDescent="0.15">
      <c r="A73" s="3"/>
      <c r="B73" s="3"/>
      <c r="C73" s="4"/>
      <c r="D73" s="4"/>
      <c r="E73" s="4"/>
      <c r="F73" s="3"/>
      <c r="G73" s="3"/>
      <c r="H73" s="3"/>
      <c r="I73" s="3"/>
      <c r="J73" s="3"/>
      <c r="K73" s="4"/>
      <c r="L73" s="3"/>
      <c r="M73" s="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2.75" customHeight="1" x14ac:dyDescent="0.15">
      <c r="A74" s="3"/>
      <c r="B74" s="3"/>
      <c r="C74" s="4"/>
      <c r="D74" s="4"/>
      <c r="E74" s="4"/>
      <c r="F74" s="3"/>
      <c r="G74" s="3"/>
      <c r="H74" s="3"/>
      <c r="I74" s="3"/>
      <c r="J74" s="3"/>
      <c r="K74" s="4"/>
      <c r="L74" s="3"/>
      <c r="M74" s="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2.75" customHeight="1" x14ac:dyDescent="0.15">
      <c r="A75" s="3"/>
      <c r="B75" s="3"/>
      <c r="C75" s="4"/>
      <c r="D75" s="4"/>
      <c r="E75" s="4"/>
      <c r="F75" s="3"/>
      <c r="G75" s="3"/>
      <c r="H75" s="3"/>
      <c r="I75" s="3"/>
      <c r="J75" s="3"/>
      <c r="K75" s="4"/>
      <c r="L75" s="3"/>
      <c r="M75" s="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2.75" customHeight="1" x14ac:dyDescent="0.15">
      <c r="A76" s="3"/>
      <c r="B76" s="3"/>
      <c r="C76" s="4"/>
      <c r="D76" s="4"/>
      <c r="E76" s="4"/>
      <c r="F76" s="3"/>
      <c r="G76" s="3"/>
      <c r="H76" s="3"/>
      <c r="I76" s="3"/>
      <c r="J76" s="3"/>
      <c r="K76" s="4"/>
      <c r="L76" s="3"/>
      <c r="M76" s="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2.75" customHeight="1" x14ac:dyDescent="0.15">
      <c r="A77" s="3"/>
      <c r="B77" s="3"/>
      <c r="C77" s="4"/>
      <c r="D77" s="4"/>
      <c r="E77" s="4"/>
      <c r="F77" s="3"/>
      <c r="G77" s="3"/>
      <c r="H77" s="3"/>
      <c r="I77" s="3"/>
      <c r="J77" s="3"/>
      <c r="K77" s="4"/>
      <c r="L77" s="3"/>
      <c r="M77" s="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2.75" customHeight="1" x14ac:dyDescent="0.15">
      <c r="A78" s="3"/>
      <c r="B78" s="3"/>
      <c r="C78" s="4"/>
      <c r="D78" s="4"/>
      <c r="E78" s="4"/>
      <c r="F78" s="3"/>
      <c r="G78" s="3"/>
      <c r="H78" s="3"/>
      <c r="I78" s="3"/>
      <c r="J78" s="3"/>
      <c r="K78" s="4"/>
      <c r="L78" s="3"/>
      <c r="M78" s="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2.75" customHeight="1" x14ac:dyDescent="0.15">
      <c r="A79" s="3"/>
      <c r="B79" s="3"/>
      <c r="C79" s="4"/>
      <c r="D79" s="4"/>
      <c r="E79" s="4"/>
      <c r="F79" s="3"/>
      <c r="G79" s="3"/>
      <c r="H79" s="3"/>
      <c r="I79" s="3"/>
      <c r="J79" s="3"/>
      <c r="K79" s="4"/>
      <c r="L79" s="3"/>
      <c r="M79" s="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2.75" customHeight="1" x14ac:dyDescent="0.15">
      <c r="A80" s="3"/>
      <c r="B80" s="3"/>
      <c r="C80" s="4"/>
      <c r="D80" s="4"/>
      <c r="E80" s="4"/>
      <c r="F80" s="3"/>
      <c r="G80" s="3"/>
      <c r="H80" s="3"/>
      <c r="I80" s="3"/>
      <c r="J80" s="3"/>
      <c r="K80" s="4"/>
      <c r="L80" s="3"/>
      <c r="M80" s="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2.75" customHeight="1" x14ac:dyDescent="0.15">
      <c r="A81" s="3"/>
      <c r="B81" s="3"/>
      <c r="C81" s="4"/>
      <c r="D81" s="4"/>
      <c r="E81" s="4"/>
      <c r="F81" s="3"/>
      <c r="G81" s="3"/>
      <c r="H81" s="3"/>
      <c r="I81" s="3"/>
      <c r="J81" s="3"/>
      <c r="K81" s="4"/>
      <c r="L81" s="3"/>
      <c r="M81" s="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2.75" customHeight="1" x14ac:dyDescent="0.15">
      <c r="A82" s="3"/>
      <c r="B82" s="3"/>
      <c r="C82" s="4"/>
      <c r="D82" s="4"/>
      <c r="E82" s="4"/>
      <c r="F82" s="3"/>
      <c r="G82" s="3"/>
      <c r="H82" s="3"/>
      <c r="I82" s="3"/>
      <c r="J82" s="3"/>
      <c r="K82" s="4"/>
      <c r="L82" s="3"/>
      <c r="M82" s="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2.75" customHeight="1" x14ac:dyDescent="0.15">
      <c r="A83" s="3"/>
      <c r="B83" s="3"/>
      <c r="C83" s="4"/>
      <c r="D83" s="4"/>
      <c r="E83" s="4"/>
      <c r="F83" s="3"/>
      <c r="G83" s="3"/>
      <c r="H83" s="3"/>
      <c r="I83" s="3"/>
      <c r="J83" s="3"/>
      <c r="K83" s="4"/>
      <c r="L83" s="3"/>
      <c r="M83" s="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2.75" customHeight="1" x14ac:dyDescent="0.15">
      <c r="A84" s="3"/>
      <c r="B84" s="3"/>
      <c r="C84" s="4"/>
      <c r="D84" s="4"/>
      <c r="E84" s="4"/>
      <c r="F84" s="3"/>
      <c r="G84" s="3"/>
      <c r="H84" s="3"/>
      <c r="I84" s="3"/>
      <c r="J84" s="3"/>
      <c r="K84" s="4"/>
      <c r="L84" s="3"/>
      <c r="M84" s="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2.75" customHeight="1" x14ac:dyDescent="0.15">
      <c r="A85" s="3"/>
      <c r="B85" s="3"/>
      <c r="C85" s="4"/>
      <c r="D85" s="4"/>
      <c r="E85" s="4"/>
      <c r="F85" s="3"/>
      <c r="G85" s="3"/>
      <c r="H85" s="3"/>
      <c r="I85" s="3"/>
      <c r="J85" s="3"/>
      <c r="K85" s="4"/>
      <c r="L85" s="3"/>
      <c r="M85" s="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2.75" customHeight="1" x14ac:dyDescent="0.15">
      <c r="A86" s="3"/>
      <c r="B86" s="3"/>
      <c r="C86" s="4"/>
      <c r="D86" s="4"/>
      <c r="E86" s="4"/>
      <c r="F86" s="3"/>
      <c r="G86" s="3"/>
      <c r="H86" s="3"/>
      <c r="I86" s="3"/>
      <c r="J86" s="3"/>
      <c r="K86" s="4"/>
      <c r="L86" s="3"/>
      <c r="M86" s="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2.75" customHeight="1" x14ac:dyDescent="0.15">
      <c r="A87" s="3"/>
      <c r="B87" s="3"/>
      <c r="C87" s="4"/>
      <c r="D87" s="4"/>
      <c r="E87" s="4"/>
      <c r="F87" s="3"/>
      <c r="G87" s="3"/>
      <c r="H87" s="3"/>
      <c r="I87" s="3"/>
      <c r="J87" s="3"/>
      <c r="K87" s="4"/>
      <c r="L87" s="3"/>
      <c r="M87" s="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.75" customHeight="1" x14ac:dyDescent="0.15">
      <c r="A88" s="3"/>
      <c r="B88" s="3"/>
      <c r="C88" s="4"/>
      <c r="D88" s="4"/>
      <c r="E88" s="4"/>
      <c r="F88" s="3"/>
      <c r="G88" s="3"/>
      <c r="H88" s="3"/>
      <c r="I88" s="3"/>
      <c r="J88" s="3"/>
      <c r="K88" s="4"/>
      <c r="L88" s="3"/>
      <c r="M88" s="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.75" customHeight="1" x14ac:dyDescent="0.15">
      <c r="A89" s="3"/>
      <c r="B89" s="3"/>
      <c r="C89" s="4"/>
      <c r="D89" s="4"/>
      <c r="E89" s="4"/>
      <c r="F89" s="3"/>
      <c r="G89" s="3"/>
      <c r="H89" s="3"/>
      <c r="I89" s="3"/>
      <c r="J89" s="3"/>
      <c r="K89" s="4"/>
      <c r="L89" s="3"/>
      <c r="M89" s="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.75" customHeight="1" x14ac:dyDescent="0.15">
      <c r="A90" s="3"/>
      <c r="B90" s="3"/>
      <c r="C90" s="4"/>
      <c r="D90" s="4"/>
      <c r="E90" s="4"/>
      <c r="F90" s="3"/>
      <c r="G90" s="3"/>
      <c r="H90" s="3"/>
      <c r="I90" s="3"/>
      <c r="J90" s="3"/>
      <c r="K90" s="4"/>
      <c r="L90" s="3"/>
      <c r="M90" s="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.75" customHeight="1" x14ac:dyDescent="0.15">
      <c r="A91" s="3"/>
      <c r="B91" s="3"/>
      <c r="C91" s="4"/>
      <c r="D91" s="4"/>
      <c r="E91" s="4"/>
      <c r="F91" s="3"/>
      <c r="G91" s="3"/>
      <c r="H91" s="3"/>
      <c r="I91" s="3"/>
      <c r="J91" s="3"/>
      <c r="K91" s="4"/>
      <c r="L91" s="3"/>
      <c r="M91" s="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.75" customHeight="1" x14ac:dyDescent="0.15">
      <c r="A92" s="3"/>
      <c r="B92" s="3"/>
      <c r="C92" s="4"/>
      <c r="D92" s="4"/>
      <c r="E92" s="4"/>
      <c r="F92" s="3"/>
      <c r="G92" s="3"/>
      <c r="H92" s="3"/>
      <c r="I92" s="3"/>
      <c r="J92" s="3"/>
      <c r="K92" s="4"/>
      <c r="L92" s="3"/>
      <c r="M92" s="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2.75" customHeight="1" x14ac:dyDescent="0.15">
      <c r="A93" s="3"/>
      <c r="B93" s="3"/>
      <c r="C93" s="4"/>
      <c r="D93" s="4"/>
      <c r="E93" s="4"/>
      <c r="F93" s="3"/>
      <c r="G93" s="3"/>
      <c r="H93" s="3"/>
      <c r="I93" s="3"/>
      <c r="J93" s="3"/>
      <c r="K93" s="4"/>
      <c r="L93" s="3"/>
      <c r="M93" s="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.75" customHeight="1" x14ac:dyDescent="0.15">
      <c r="A94" s="3"/>
      <c r="B94" s="3"/>
      <c r="C94" s="4"/>
      <c r="D94" s="4"/>
      <c r="E94" s="4"/>
      <c r="F94" s="3"/>
      <c r="G94" s="3"/>
      <c r="H94" s="3"/>
      <c r="I94" s="3"/>
      <c r="J94" s="3"/>
      <c r="K94" s="4"/>
      <c r="L94" s="3"/>
      <c r="M94" s="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.75" customHeight="1" x14ac:dyDescent="0.15">
      <c r="A95" s="3"/>
      <c r="B95" s="3"/>
      <c r="C95" s="4"/>
      <c r="D95" s="4"/>
      <c r="E95" s="4"/>
      <c r="F95" s="3"/>
      <c r="G95" s="3"/>
      <c r="H95" s="3"/>
      <c r="I95" s="3"/>
      <c r="J95" s="3"/>
      <c r="K95" s="4"/>
      <c r="L95" s="3"/>
      <c r="M95" s="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.75" customHeight="1" x14ac:dyDescent="0.15">
      <c r="A96" s="3"/>
      <c r="B96" s="3"/>
      <c r="C96" s="4"/>
      <c r="D96" s="4"/>
      <c r="E96" s="4"/>
      <c r="F96" s="3"/>
      <c r="G96" s="3"/>
      <c r="H96" s="3"/>
      <c r="I96" s="3"/>
      <c r="J96" s="3"/>
      <c r="K96" s="4"/>
      <c r="L96" s="3"/>
      <c r="M96" s="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.75" customHeight="1" x14ac:dyDescent="0.15">
      <c r="A97" s="3"/>
      <c r="B97" s="3"/>
      <c r="C97" s="4"/>
      <c r="D97" s="4"/>
      <c r="E97" s="4"/>
      <c r="F97" s="3"/>
      <c r="G97" s="3"/>
      <c r="H97" s="3"/>
      <c r="I97" s="3"/>
      <c r="J97" s="3"/>
      <c r="K97" s="4"/>
      <c r="L97" s="3"/>
      <c r="M97" s="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.75" customHeight="1" x14ac:dyDescent="0.15">
      <c r="A98" s="3"/>
      <c r="B98" s="3"/>
      <c r="C98" s="4"/>
      <c r="D98" s="4"/>
      <c r="E98" s="4"/>
      <c r="F98" s="3"/>
      <c r="G98" s="3"/>
      <c r="H98" s="3"/>
      <c r="I98" s="3"/>
      <c r="J98" s="3"/>
      <c r="K98" s="4"/>
      <c r="L98" s="3"/>
      <c r="M98" s="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.75" customHeight="1" x14ac:dyDescent="0.15">
      <c r="A99" s="3"/>
      <c r="B99" s="3"/>
      <c r="C99" s="4"/>
      <c r="D99" s="4"/>
      <c r="E99" s="4"/>
      <c r="F99" s="3"/>
      <c r="G99" s="3"/>
      <c r="H99" s="3"/>
      <c r="I99" s="3"/>
      <c r="J99" s="3"/>
      <c r="K99" s="4"/>
      <c r="L99" s="3"/>
      <c r="M99" s="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.75" customHeight="1" x14ac:dyDescent="0.15">
      <c r="A100" s="3"/>
      <c r="B100" s="3"/>
      <c r="C100" s="4"/>
      <c r="D100" s="4"/>
      <c r="E100" s="4"/>
      <c r="F100" s="3"/>
      <c r="G100" s="3"/>
      <c r="H100" s="3"/>
      <c r="I100" s="3"/>
      <c r="J100" s="3"/>
      <c r="K100" s="4"/>
      <c r="L100" s="3"/>
      <c r="M100" s="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.75" customHeight="1" x14ac:dyDescent="0.15">
      <c r="A101" s="3"/>
      <c r="B101" s="3"/>
      <c r="C101" s="4"/>
      <c r="D101" s="4"/>
      <c r="E101" s="4"/>
      <c r="F101" s="3"/>
      <c r="G101" s="3"/>
      <c r="H101" s="3"/>
      <c r="I101" s="3"/>
      <c r="J101" s="3"/>
      <c r="K101" s="4"/>
      <c r="L101" s="3"/>
      <c r="M101" s="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.75" customHeight="1" x14ac:dyDescent="0.15">
      <c r="A102" s="3"/>
      <c r="B102" s="3"/>
      <c r="C102" s="4"/>
      <c r="D102" s="4"/>
      <c r="E102" s="4"/>
      <c r="F102" s="3"/>
      <c r="G102" s="3"/>
      <c r="H102" s="3"/>
      <c r="I102" s="3"/>
      <c r="J102" s="3"/>
      <c r="K102" s="4"/>
      <c r="L102" s="3"/>
      <c r="M102" s="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.75" customHeight="1" x14ac:dyDescent="0.15">
      <c r="A103" s="3"/>
      <c r="B103" s="3"/>
      <c r="C103" s="4"/>
      <c r="D103" s="4"/>
      <c r="E103" s="4"/>
      <c r="F103" s="3"/>
      <c r="G103" s="3"/>
      <c r="H103" s="3"/>
      <c r="I103" s="3"/>
      <c r="J103" s="3"/>
      <c r="K103" s="4"/>
      <c r="L103" s="3"/>
      <c r="M103" s="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.75" customHeight="1" x14ac:dyDescent="0.15">
      <c r="A104" s="3"/>
      <c r="B104" s="3"/>
      <c r="C104" s="4"/>
      <c r="D104" s="4"/>
      <c r="E104" s="4"/>
      <c r="F104" s="3"/>
      <c r="G104" s="3"/>
      <c r="H104" s="3"/>
      <c r="I104" s="3"/>
      <c r="J104" s="3"/>
      <c r="K104" s="4"/>
      <c r="L104" s="3"/>
      <c r="M104" s="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.75" customHeight="1" x14ac:dyDescent="0.15">
      <c r="A105" s="3"/>
      <c r="B105" s="3"/>
      <c r="C105" s="4"/>
      <c r="D105" s="4"/>
      <c r="E105" s="4"/>
      <c r="F105" s="3"/>
      <c r="G105" s="3"/>
      <c r="H105" s="3"/>
      <c r="I105" s="3"/>
      <c r="J105" s="3"/>
      <c r="K105" s="4"/>
      <c r="L105" s="3"/>
      <c r="M105" s="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.75" customHeight="1" x14ac:dyDescent="0.15">
      <c r="A106" s="3"/>
      <c r="B106" s="3"/>
      <c r="C106" s="4"/>
      <c r="D106" s="4"/>
      <c r="E106" s="4"/>
      <c r="F106" s="3"/>
      <c r="G106" s="3"/>
      <c r="H106" s="3"/>
      <c r="I106" s="3"/>
      <c r="J106" s="3"/>
      <c r="K106" s="4"/>
      <c r="L106" s="3"/>
      <c r="M106" s="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.75" customHeight="1" x14ac:dyDescent="0.15">
      <c r="A107" s="3"/>
      <c r="B107" s="3"/>
      <c r="C107" s="4"/>
      <c r="D107" s="4"/>
      <c r="E107" s="4"/>
      <c r="F107" s="3"/>
      <c r="G107" s="3"/>
      <c r="H107" s="3"/>
      <c r="I107" s="3"/>
      <c r="J107" s="3"/>
      <c r="K107" s="4"/>
      <c r="L107" s="3"/>
      <c r="M107" s="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.75" customHeight="1" x14ac:dyDescent="0.15">
      <c r="A108" s="3"/>
      <c r="B108" s="3"/>
      <c r="C108" s="4"/>
      <c r="D108" s="4"/>
      <c r="E108" s="4"/>
      <c r="F108" s="3"/>
      <c r="G108" s="3"/>
      <c r="H108" s="3"/>
      <c r="I108" s="3"/>
      <c r="J108" s="3"/>
      <c r="K108" s="4"/>
      <c r="L108" s="3"/>
      <c r="M108" s="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.75" customHeight="1" x14ac:dyDescent="0.15">
      <c r="A109" s="3"/>
      <c r="B109" s="3"/>
      <c r="C109" s="4"/>
      <c r="D109" s="4"/>
      <c r="E109" s="4"/>
      <c r="F109" s="3"/>
      <c r="G109" s="3"/>
      <c r="H109" s="3"/>
      <c r="I109" s="3"/>
      <c r="J109" s="3"/>
      <c r="K109" s="4"/>
      <c r="L109" s="3"/>
      <c r="M109" s="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.75" customHeight="1" x14ac:dyDescent="0.15">
      <c r="A110" s="3"/>
      <c r="B110" s="3"/>
      <c r="C110" s="4"/>
      <c r="D110" s="4"/>
      <c r="E110" s="4"/>
      <c r="F110" s="3"/>
      <c r="G110" s="3"/>
      <c r="H110" s="3"/>
      <c r="I110" s="3"/>
      <c r="J110" s="3"/>
      <c r="K110" s="4"/>
      <c r="L110" s="3"/>
      <c r="M110" s="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.75" customHeight="1" x14ac:dyDescent="0.15">
      <c r="A111" s="3"/>
      <c r="B111" s="3"/>
      <c r="C111" s="4"/>
      <c r="D111" s="4"/>
      <c r="E111" s="4"/>
      <c r="F111" s="3"/>
      <c r="G111" s="3"/>
      <c r="H111" s="3"/>
      <c r="I111" s="3"/>
      <c r="J111" s="3"/>
      <c r="K111" s="4"/>
      <c r="L111" s="3"/>
      <c r="M111" s="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.75" customHeight="1" x14ac:dyDescent="0.15">
      <c r="A112" s="3"/>
      <c r="B112" s="3"/>
      <c r="C112" s="4"/>
      <c r="D112" s="4"/>
      <c r="E112" s="4"/>
      <c r="F112" s="3"/>
      <c r="G112" s="3"/>
      <c r="H112" s="3"/>
      <c r="I112" s="3"/>
      <c r="J112" s="3"/>
      <c r="K112" s="4"/>
      <c r="L112" s="3"/>
      <c r="M112" s="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.75" customHeight="1" x14ac:dyDescent="0.15">
      <c r="A113" s="3"/>
      <c r="B113" s="3"/>
      <c r="C113" s="4"/>
      <c r="D113" s="4"/>
      <c r="E113" s="4"/>
      <c r="F113" s="3"/>
      <c r="G113" s="3"/>
      <c r="H113" s="3"/>
      <c r="I113" s="3"/>
      <c r="J113" s="3"/>
      <c r="K113" s="4"/>
      <c r="L113" s="3"/>
      <c r="M113" s="3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.75" customHeight="1" x14ac:dyDescent="0.15">
      <c r="A114" s="3"/>
      <c r="B114" s="3"/>
      <c r="C114" s="4"/>
      <c r="D114" s="4"/>
      <c r="E114" s="4"/>
      <c r="F114" s="3"/>
      <c r="G114" s="3"/>
      <c r="H114" s="3"/>
      <c r="I114" s="3"/>
      <c r="J114" s="3"/>
      <c r="K114" s="4"/>
      <c r="L114" s="3"/>
      <c r="M114" s="3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.75" customHeight="1" x14ac:dyDescent="0.15">
      <c r="A115" s="3"/>
      <c r="B115" s="3"/>
      <c r="C115" s="4"/>
      <c r="D115" s="4"/>
      <c r="E115" s="4"/>
      <c r="F115" s="3"/>
      <c r="G115" s="3"/>
      <c r="H115" s="3"/>
      <c r="I115" s="3"/>
      <c r="J115" s="3"/>
      <c r="K115" s="4"/>
      <c r="L115" s="3"/>
      <c r="M115" s="3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.75" customHeight="1" x14ac:dyDescent="0.15">
      <c r="A116" s="3"/>
      <c r="B116" s="3"/>
      <c r="C116" s="4"/>
      <c r="D116" s="4"/>
      <c r="E116" s="4"/>
      <c r="F116" s="3"/>
      <c r="G116" s="3"/>
      <c r="H116" s="3"/>
      <c r="I116" s="3"/>
      <c r="J116" s="3"/>
      <c r="K116" s="4"/>
      <c r="L116" s="3"/>
      <c r="M116" s="3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.75" customHeight="1" x14ac:dyDescent="0.15">
      <c r="A117" s="3"/>
      <c r="B117" s="3"/>
      <c r="C117" s="4"/>
      <c r="D117" s="4"/>
      <c r="E117" s="4"/>
      <c r="F117" s="3"/>
      <c r="G117" s="3"/>
      <c r="H117" s="3"/>
      <c r="I117" s="3"/>
      <c r="J117" s="3"/>
      <c r="K117" s="4"/>
      <c r="L117" s="3"/>
      <c r="M117" s="3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.75" customHeight="1" x14ac:dyDescent="0.15">
      <c r="A118" s="3"/>
      <c r="B118" s="3"/>
      <c r="C118" s="4"/>
      <c r="D118" s="4"/>
      <c r="E118" s="4"/>
      <c r="F118" s="3"/>
      <c r="G118" s="3"/>
      <c r="H118" s="3"/>
      <c r="I118" s="3"/>
      <c r="J118" s="3"/>
      <c r="K118" s="4"/>
      <c r="L118" s="3"/>
      <c r="M118" s="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.75" customHeight="1" x14ac:dyDescent="0.15">
      <c r="A119" s="3"/>
      <c r="B119" s="3"/>
      <c r="C119" s="4"/>
      <c r="D119" s="4"/>
      <c r="E119" s="4"/>
      <c r="F119" s="3"/>
      <c r="G119" s="3"/>
      <c r="H119" s="3"/>
      <c r="I119" s="3"/>
      <c r="J119" s="3"/>
      <c r="K119" s="4"/>
      <c r="L119" s="3"/>
      <c r="M119" s="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.75" customHeight="1" x14ac:dyDescent="0.15">
      <c r="A120" s="3"/>
      <c r="B120" s="3"/>
      <c r="C120" s="4"/>
      <c r="D120" s="4"/>
      <c r="E120" s="4"/>
      <c r="F120" s="3"/>
      <c r="G120" s="3"/>
      <c r="H120" s="3"/>
      <c r="I120" s="3"/>
      <c r="J120" s="3"/>
      <c r="K120" s="4"/>
      <c r="L120" s="3"/>
      <c r="M120" s="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.75" customHeight="1" x14ac:dyDescent="0.15">
      <c r="A121" s="3"/>
      <c r="B121" s="3"/>
      <c r="C121" s="4"/>
      <c r="D121" s="4"/>
      <c r="E121" s="4"/>
      <c r="F121" s="3"/>
      <c r="G121" s="3"/>
      <c r="H121" s="3"/>
      <c r="I121" s="3"/>
      <c r="J121" s="3"/>
      <c r="K121" s="4"/>
      <c r="L121" s="3"/>
      <c r="M121" s="3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.75" customHeight="1" x14ac:dyDescent="0.15">
      <c r="A122" s="3"/>
      <c r="B122" s="3"/>
      <c r="C122" s="4"/>
      <c r="D122" s="4"/>
      <c r="E122" s="4"/>
      <c r="F122" s="3"/>
      <c r="G122" s="3"/>
      <c r="H122" s="3"/>
      <c r="I122" s="3"/>
      <c r="J122" s="3"/>
      <c r="K122" s="4"/>
      <c r="L122" s="3"/>
      <c r="M122" s="3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.75" customHeight="1" x14ac:dyDescent="0.15">
      <c r="A123" s="3"/>
      <c r="B123" s="3"/>
      <c r="C123" s="4"/>
      <c r="D123" s="4"/>
      <c r="E123" s="4"/>
      <c r="F123" s="3"/>
      <c r="G123" s="3"/>
      <c r="H123" s="3"/>
      <c r="I123" s="3"/>
      <c r="J123" s="3"/>
      <c r="K123" s="4"/>
      <c r="L123" s="3"/>
      <c r="M123" s="3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.75" customHeight="1" x14ac:dyDescent="0.15">
      <c r="A124" s="3"/>
      <c r="B124" s="3"/>
      <c r="C124" s="4"/>
      <c r="D124" s="4"/>
      <c r="E124" s="4"/>
      <c r="F124" s="3"/>
      <c r="G124" s="3"/>
      <c r="H124" s="3"/>
      <c r="I124" s="3"/>
      <c r="J124" s="3"/>
      <c r="K124" s="4"/>
      <c r="L124" s="3"/>
      <c r="M124" s="3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.75" customHeight="1" x14ac:dyDescent="0.15">
      <c r="A125" s="3"/>
      <c r="B125" s="3"/>
      <c r="C125" s="4"/>
      <c r="D125" s="4"/>
      <c r="E125" s="4"/>
      <c r="F125" s="3"/>
      <c r="G125" s="3"/>
      <c r="H125" s="3"/>
      <c r="I125" s="3"/>
      <c r="J125" s="3"/>
      <c r="K125" s="4"/>
      <c r="L125" s="3"/>
      <c r="M125" s="3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.75" customHeight="1" x14ac:dyDescent="0.15">
      <c r="A126" s="3"/>
      <c r="B126" s="3"/>
      <c r="C126" s="4"/>
      <c r="D126" s="4"/>
      <c r="E126" s="4"/>
      <c r="F126" s="3"/>
      <c r="G126" s="3"/>
      <c r="H126" s="3"/>
      <c r="I126" s="3"/>
      <c r="J126" s="3"/>
      <c r="K126" s="4"/>
      <c r="L126" s="3"/>
      <c r="M126" s="3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.75" customHeight="1" x14ac:dyDescent="0.15">
      <c r="A127" s="3"/>
      <c r="B127" s="3"/>
      <c r="C127" s="4"/>
      <c r="D127" s="4"/>
      <c r="E127" s="4"/>
      <c r="F127" s="3"/>
      <c r="G127" s="3"/>
      <c r="H127" s="3"/>
      <c r="I127" s="3"/>
      <c r="J127" s="3"/>
      <c r="K127" s="4"/>
      <c r="L127" s="3"/>
      <c r="M127" s="3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.75" customHeight="1" x14ac:dyDescent="0.15">
      <c r="A128" s="3"/>
      <c r="B128" s="3"/>
      <c r="C128" s="4"/>
      <c r="D128" s="4"/>
      <c r="E128" s="4"/>
      <c r="F128" s="3"/>
      <c r="G128" s="3"/>
      <c r="H128" s="3"/>
      <c r="I128" s="3"/>
      <c r="J128" s="3"/>
      <c r="K128" s="4"/>
      <c r="L128" s="3"/>
      <c r="M128" s="3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.75" customHeight="1" x14ac:dyDescent="0.15">
      <c r="A129" s="3"/>
      <c r="B129" s="3"/>
      <c r="C129" s="4"/>
      <c r="D129" s="4"/>
      <c r="E129" s="4"/>
      <c r="F129" s="3"/>
      <c r="G129" s="3"/>
      <c r="H129" s="3"/>
      <c r="I129" s="3"/>
      <c r="J129" s="3"/>
      <c r="K129" s="4"/>
      <c r="L129" s="3"/>
      <c r="M129" s="3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.75" customHeight="1" x14ac:dyDescent="0.15">
      <c r="A130" s="3"/>
      <c r="B130" s="3"/>
      <c r="C130" s="4"/>
      <c r="D130" s="4"/>
      <c r="E130" s="4"/>
      <c r="F130" s="3"/>
      <c r="G130" s="3"/>
      <c r="H130" s="3"/>
      <c r="I130" s="3"/>
      <c r="J130" s="3"/>
      <c r="K130" s="4"/>
      <c r="L130" s="3"/>
      <c r="M130" s="3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.75" customHeight="1" x14ac:dyDescent="0.15">
      <c r="A131" s="3"/>
      <c r="B131" s="3"/>
      <c r="C131" s="4"/>
      <c r="D131" s="4"/>
      <c r="E131" s="4"/>
      <c r="F131" s="3"/>
      <c r="G131" s="3"/>
      <c r="H131" s="3"/>
      <c r="I131" s="3"/>
      <c r="J131" s="3"/>
      <c r="K131" s="4"/>
      <c r="L131" s="3"/>
      <c r="M131" s="3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</sheetData>
  <sheetProtection password="CE28" sheet="1" objects="1" scenarios="1" formatCells="0" formatColumns="0" formatRows="0"/>
  <mergeCells count="17">
    <mergeCell ref="C3:E3"/>
    <mergeCell ref="I3:L3"/>
    <mergeCell ref="I2:L2"/>
    <mergeCell ref="B2:F2"/>
    <mergeCell ref="O11:Q11"/>
    <mergeCell ref="O12:Q12"/>
    <mergeCell ref="O13:Q13"/>
    <mergeCell ref="O14:Q14"/>
    <mergeCell ref="O10:R10"/>
    <mergeCell ref="O21:Q21"/>
    <mergeCell ref="O22:Q22"/>
    <mergeCell ref="O23:Q23"/>
    <mergeCell ref="O15:Q15"/>
    <mergeCell ref="O16:Q16"/>
    <mergeCell ref="O17:Q17"/>
    <mergeCell ref="O18:Q18"/>
    <mergeCell ref="O20:R20"/>
  </mergeCells>
  <dataValidations count="2">
    <dataValidation type="whole" operator="greaterThan" allowBlank="1" showInputMessage="1" showErrorMessage="1" error="Actual No of Fixtures is Geater than Required No of Fixtures." sqref="K32" xr:uid="{00000000-0002-0000-0000-000000000000}">
      <formula1>K30</formula1>
    </dataValidation>
    <dataValidation operator="greaterThan" allowBlank="1" showInputMessage="1" showErrorMessage="1" error="Actual No of Fixtures is Geater than Required No of Fixtures." sqref="K30:K31" xr:uid="{00000000-0002-0000-0000-000001000000}"/>
  </dataValidations>
  <hyperlinks>
    <hyperlink ref="C25:C27" r:id="rId1" display="Jignesh.Parmar" xr:uid="{00000000-0004-0000-0000-000000000000}"/>
  </hyperlinks>
  <pageMargins left="0.7" right="0.7" top="0.75" bottom="0.75" header="0.3" footer="0.3"/>
  <pageSetup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Required Fixture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alaadomai89@gmail.com</dc:creator>
  <cp:lastModifiedBy>Jignesh Parmar</cp:lastModifiedBy>
  <dcterms:created xsi:type="dcterms:W3CDTF">2021-10-13T17:44:26Z</dcterms:created>
  <dcterms:modified xsi:type="dcterms:W3CDTF">2018-11-03T11:49:20Z</dcterms:modified>
</cp:coreProperties>
</file>