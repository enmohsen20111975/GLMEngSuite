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000001_{E82C46CE-61C5-3E4C-9E2A-F5ECB7AB69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unking Size" sheetId="5" r:id="rId1"/>
    <sheet name="Factors" sheetId="6" r:id="rId2"/>
  </sheets>
  <definedNames>
    <definedName name="cable">Factors!$C$5:$C$19</definedName>
    <definedName name="tru">Factors!$L$22:$M$58</definedName>
    <definedName name="ty">Factors!$B$6:$B$7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" i="6" l="1"/>
  <c r="M37" i="6"/>
  <c r="L38" i="6"/>
  <c r="M38" i="6"/>
  <c r="L39" i="6"/>
  <c r="M39" i="6"/>
  <c r="L40" i="6"/>
  <c r="M40" i="6"/>
  <c r="L41" i="6"/>
  <c r="M41" i="6"/>
  <c r="L42" i="6"/>
  <c r="M42" i="6"/>
  <c r="L43" i="6"/>
  <c r="M43" i="6"/>
  <c r="L44" i="6"/>
  <c r="M44" i="6"/>
  <c r="L45" i="6"/>
  <c r="M45" i="6"/>
  <c r="L46" i="6"/>
  <c r="M46" i="6"/>
  <c r="L47" i="6"/>
  <c r="M47" i="6"/>
  <c r="L48" i="6"/>
  <c r="M48" i="6"/>
  <c r="L49" i="6"/>
  <c r="M49" i="6"/>
  <c r="L50" i="6"/>
  <c r="M50" i="6"/>
  <c r="L51" i="6"/>
  <c r="M51" i="6"/>
  <c r="L52" i="6"/>
  <c r="M52" i="6"/>
  <c r="L53" i="6"/>
  <c r="M53" i="6"/>
  <c r="L54" i="6"/>
  <c r="M54" i="6"/>
  <c r="L55" i="6"/>
  <c r="M55" i="6"/>
  <c r="L56" i="6"/>
  <c r="M56" i="6"/>
  <c r="L57" i="6"/>
  <c r="M57" i="6"/>
  <c r="L58" i="6"/>
  <c r="M58" i="6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7" i="5"/>
  <c r="F8" i="5"/>
  <c r="F9" i="5"/>
  <c r="F10" i="5"/>
  <c r="F11" i="5"/>
  <c r="L24" i="6"/>
  <c r="M24" i="6"/>
  <c r="L25" i="6"/>
  <c r="M25" i="6"/>
  <c r="L26" i="6"/>
  <c r="M26" i="6"/>
  <c r="L27" i="6"/>
  <c r="M27" i="6"/>
  <c r="L28" i="6"/>
  <c r="M28" i="6"/>
  <c r="L29" i="6"/>
  <c r="M29" i="6"/>
  <c r="L30" i="6"/>
  <c r="M30" i="6"/>
  <c r="L31" i="6"/>
  <c r="M31" i="6"/>
  <c r="L32" i="6"/>
  <c r="M32" i="6"/>
  <c r="L33" i="6"/>
  <c r="M33" i="6"/>
  <c r="L34" i="6"/>
  <c r="M34" i="6"/>
  <c r="L35" i="6"/>
  <c r="M35" i="6"/>
  <c r="L36" i="6"/>
  <c r="M36" i="6"/>
  <c r="M23" i="6"/>
  <c r="L23" i="6"/>
  <c r="F6" i="5"/>
  <c r="F27" i="5"/>
  <c r="F29" i="5"/>
  <c r="F31" i="5"/>
</calcChain>
</file>

<file path=xl/sharedStrings.xml><?xml version="1.0" encoding="utf-8"?>
<sst xmlns="http://schemas.openxmlformats.org/spreadsheetml/2006/main" count="94" uniqueCount="66">
  <si>
    <t>Cable Factor for Trunking as per IEEE</t>
  </si>
  <si>
    <t>Type of Cable</t>
  </si>
  <si>
    <t>Size of Cable</t>
  </si>
  <si>
    <t>Factor</t>
  </si>
  <si>
    <t>Solid</t>
  </si>
  <si>
    <t>Stranded</t>
  </si>
  <si>
    <t>Trunking Factor As per IEEE</t>
  </si>
  <si>
    <t>Trunking Size (mm)</t>
  </si>
  <si>
    <t>75 X 25</t>
  </si>
  <si>
    <t>50 X 37.5</t>
  </si>
  <si>
    <t>100 X 50</t>
  </si>
  <si>
    <t>50 x 50</t>
  </si>
  <si>
    <t>75 X 37.5</t>
  </si>
  <si>
    <t>100 X 37.5</t>
  </si>
  <si>
    <t>75 X 50</t>
  </si>
  <si>
    <t>75 X 75</t>
  </si>
  <si>
    <t>150 X 50</t>
  </si>
  <si>
    <t>100 X 75</t>
  </si>
  <si>
    <t>100 X 100</t>
  </si>
  <si>
    <t>150 X 75</t>
  </si>
  <si>
    <t>150 X 100</t>
  </si>
  <si>
    <t>150 X 150</t>
  </si>
  <si>
    <t>1.5 Sq.mm</t>
  </si>
  <si>
    <t>2.5 Sq.mm</t>
  </si>
  <si>
    <t>4 Sq.mm</t>
  </si>
  <si>
    <t>6 Sq.mm</t>
  </si>
  <si>
    <t>10 Sq.mm</t>
  </si>
  <si>
    <t>16 Sq.mm</t>
  </si>
  <si>
    <t>25 Sq.mm</t>
  </si>
  <si>
    <t>35 Sq.mm</t>
  </si>
  <si>
    <t>50 Sq.mm</t>
  </si>
  <si>
    <t>70 Sq.mm</t>
  </si>
  <si>
    <t>95 Sq.mm</t>
  </si>
  <si>
    <t>120 Sq.mm</t>
  </si>
  <si>
    <t>150 Sq.mm</t>
  </si>
  <si>
    <t>Sr.No</t>
  </si>
  <si>
    <t>No of Cable</t>
  </si>
  <si>
    <t>Cable Factor</t>
  </si>
  <si>
    <t>Total Cable Factor:</t>
  </si>
  <si>
    <t>Future Expansion:</t>
  </si>
  <si>
    <t>Total Cable Factor After Future Expansion:</t>
  </si>
  <si>
    <t>Cable Trunking Size:</t>
  </si>
  <si>
    <t>mm</t>
  </si>
  <si>
    <t>Calculate Cable Trunking Size</t>
  </si>
  <si>
    <t>Jignesh.Parmar, www.electricalnotes.wordpress.com</t>
  </si>
  <si>
    <t>200 X 38</t>
  </si>
  <si>
    <t>200 X 50</t>
  </si>
  <si>
    <t>200 X 75</t>
  </si>
  <si>
    <t>200 X 100</t>
  </si>
  <si>
    <t>200 X 150</t>
  </si>
  <si>
    <t>200 X 200</t>
  </si>
  <si>
    <t>225 X 38</t>
  </si>
  <si>
    <t>225 X 50</t>
  </si>
  <si>
    <t>225 X 75</t>
  </si>
  <si>
    <t>225 X 100</t>
  </si>
  <si>
    <t>225 X 150</t>
  </si>
  <si>
    <t>225 X 200</t>
  </si>
  <si>
    <t>225 X 225</t>
  </si>
  <si>
    <t>300 X 38</t>
  </si>
  <si>
    <t>300 X 50</t>
  </si>
  <si>
    <t>300 X 75</t>
  </si>
  <si>
    <t>300 X 100</t>
  </si>
  <si>
    <t>300 X 150</t>
  </si>
  <si>
    <t>300 X 200</t>
  </si>
  <si>
    <t>300 X 225</t>
  </si>
  <si>
    <t>300 X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</si>
</sst>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Adani Regula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2060"/>
      <name val="Arial"/>
      <family val="2"/>
    </font>
    <font>
      <b/>
      <sz val="14"/>
      <color theme="1"/>
      <name val="Arial"/>
      <family val="2"/>
    </font>
    <font>
      <b/>
      <u/>
      <sz val="11"/>
      <color theme="10"/>
      <name val="Arial Narrow"/>
      <family val="2"/>
    </font>
    <font>
      <b/>
      <u/>
      <sz val="20"/>
      <color rgb="FF0000FF"/>
      <name val="Arial Narrow"/>
      <family val="2"/>
    </font>
    <font>
      <b/>
      <sz val="14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</cellXfs>
  <cellStyles count="3">
    <cellStyle name="Hyperlink" xfId="1" builtinId="8" hidden="1" customBuiltin="1"/>
    <cellStyle name="Hyperlink" xfId="2" builtinId="8" customBuiltin="1"/>
    <cellStyle name="Normal" xfId="0" builtinId="0"/>
  </cellStyles>
  <dxfs count="0"/>
  <tableStyles count="0" defaultTableStyle="TableStyleMedium2" defaultPivotStyle="PivotStyleMedium9"/>
  <colors>
    <mruColors>
      <color rgb="FF66FFFF"/>
      <color rgb="FF0000FF"/>
      <color rgb="FFFFFFCC"/>
      <color rgb="FF000099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392906</xdr:colOff>
      <xdr:row>4</xdr:row>
      <xdr:rowOff>0</xdr:rowOff>
    </xdr:from>
    <xdr:to>
      <xdr:col>9</xdr:col>
      <xdr:colOff>404813</xdr:colOff>
      <xdr:row>9</xdr:row>
      <xdr:rowOff>1</xdr:rowOff>
    </xdr:to>
    <xdr:pic>
      <xdr:nvPicPr>
        <xdr:cNvPr id="3" name="Picture 2" descr="ur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8406" y="762000"/>
          <a:ext cx="1833563" cy="916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electricalnotes.wordpress.com/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2"/>
  <sheetViews>
    <sheetView showGridLines="0" tabSelected="1" zoomScale="80" zoomScaleNormal="80" workbookViewId="0">
      <selection activeCell="K21" sqref="K21"/>
    </sheetView>
  </sheetViews>
  <sheetFormatPr defaultColWidth="9.14453125" defaultRowHeight="12.75"/>
  <cols>
    <col min="1" max="1" width="4.70703125" style="2" customWidth="1"/>
    <col min="2" max="2" width="9.28125" style="1" customWidth="1"/>
    <col min="3" max="3" width="17.08203125" style="1" customWidth="1"/>
    <col min="4" max="4" width="21.5234375" style="1" customWidth="1"/>
    <col min="5" max="5" width="14.66015625" style="1" customWidth="1"/>
    <col min="6" max="6" width="16.8125" style="2" customWidth="1"/>
    <col min="7" max="14" width="9.14453125" style="2"/>
    <col min="15" max="15" width="18.16015625" style="2" customWidth="1"/>
    <col min="16" max="17" width="13.44921875" style="2" customWidth="1"/>
    <col min="18" max="16384" width="9.14453125" style="2"/>
  </cols>
  <sheetData>
    <row r="2" spans="2:6" ht="25.5">
      <c r="B2" s="21" t="s">
        <v>43</v>
      </c>
      <c r="C2" s="21"/>
      <c r="D2" s="21"/>
      <c r="E2" s="21"/>
      <c r="F2" s="21"/>
    </row>
    <row r="3" spans="2:6" ht="14.25">
      <c r="B3" s="22" t="s">
        <v>44</v>
      </c>
      <c r="C3" s="22"/>
      <c r="D3" s="22"/>
      <c r="E3" s="22"/>
      <c r="F3" s="22"/>
    </row>
    <row r="4" spans="2:6" ht="4.5" customHeight="1"/>
    <row r="5" spans="2:6" s="3" customFormat="1" ht="19.5" customHeight="1">
      <c r="B5" s="11" t="s">
        <v>35</v>
      </c>
      <c r="C5" s="11" t="s">
        <v>1</v>
      </c>
      <c r="D5" s="11" t="s">
        <v>2</v>
      </c>
      <c r="E5" s="11" t="s">
        <v>36</v>
      </c>
      <c r="F5" s="11" t="s">
        <v>37</v>
      </c>
    </row>
    <row r="6" spans="2:6">
      <c r="B6" s="5">
        <v>1</v>
      </c>
      <c r="C6" s="5" t="s">
        <v>5</v>
      </c>
      <c r="D6" s="5" t="s">
        <v>22</v>
      </c>
      <c r="E6" s="5">
        <v>30</v>
      </c>
      <c r="F6" s="4">
        <f>SUMIFS(Factors!$D$5:$D$19,Factors!$B$5:$B$19,'Trunking Size'!C6,cable,'Trunking Size'!D6)*E6</f>
        <v>243</v>
      </c>
    </row>
    <row r="7" spans="2:6">
      <c r="B7" s="5"/>
      <c r="C7" s="5" t="s">
        <v>5</v>
      </c>
      <c r="D7" s="5" t="s">
        <v>26</v>
      </c>
      <c r="E7" s="5">
        <v>10</v>
      </c>
      <c r="F7" s="4">
        <f>SUMIFS(Factors!$D$5:$D$19,Factors!$B$5:$B$19,'Trunking Size'!C7,cable,'Trunking Size'!D7)*E7</f>
        <v>363</v>
      </c>
    </row>
    <row r="8" spans="2:6">
      <c r="B8" s="5"/>
      <c r="C8" s="5" t="s">
        <v>5</v>
      </c>
      <c r="D8" s="5" t="s">
        <v>29</v>
      </c>
      <c r="E8" s="5">
        <v>5</v>
      </c>
      <c r="F8" s="4">
        <f>SUMIFS(Factors!$D$5:$D$19,Factors!$B$5:$B$19,'Trunking Size'!C8,cable,'Trunking Size'!D8)*E8</f>
        <v>475</v>
      </c>
    </row>
    <row r="9" spans="2:6">
      <c r="B9" s="5"/>
      <c r="C9" s="5" t="s">
        <v>5</v>
      </c>
      <c r="D9" s="5" t="s">
        <v>24</v>
      </c>
      <c r="E9" s="5">
        <v>10</v>
      </c>
      <c r="F9" s="4">
        <f>SUMIFS(Factors!$D$5:$D$19,Factors!$B$5:$B$19,'Trunking Size'!C9,cable,'Trunking Size'!D9)*E9</f>
        <v>152</v>
      </c>
    </row>
    <row r="10" spans="2:6">
      <c r="B10" s="5"/>
      <c r="C10" s="5"/>
      <c r="D10" s="5"/>
      <c r="E10" s="5"/>
      <c r="F10" s="4">
        <f>SUMIFS(Factors!$D$5:$D$19,Factors!$B$5:$B$19,'Trunking Size'!C10,cable,'Trunking Size'!D10)*E10</f>
        <v>0</v>
      </c>
    </row>
    <row r="11" spans="2:6">
      <c r="B11" s="5"/>
      <c r="C11" s="5"/>
      <c r="D11" s="5"/>
      <c r="E11" s="5"/>
      <c r="F11" s="4">
        <f>SUMIFS(Factors!$D$5:$D$19,Factors!$B$5:$B$19,'Trunking Size'!C11,cable,'Trunking Size'!D11)*E11</f>
        <v>0</v>
      </c>
    </row>
    <row r="12" spans="2:6">
      <c r="B12" s="5"/>
      <c r="C12" s="5"/>
      <c r="D12" s="5"/>
      <c r="E12" s="5"/>
      <c r="F12" s="4">
        <f>SUMIFS(Factors!$D$5:$D$19,Factors!$B$5:$B$19,'Trunking Size'!C12,cable,'Trunking Size'!D12)*E12</f>
        <v>0</v>
      </c>
    </row>
    <row r="13" spans="2:6">
      <c r="B13" s="5"/>
      <c r="C13" s="5"/>
      <c r="D13" s="5"/>
      <c r="E13" s="5"/>
      <c r="F13" s="4">
        <f>SUMIFS(Factors!$D$5:$D$19,Factors!$B$5:$B$19,'Trunking Size'!C13,cable,'Trunking Size'!D13)*E13</f>
        <v>0</v>
      </c>
    </row>
    <row r="14" spans="2:6">
      <c r="B14" s="5"/>
      <c r="C14" s="5"/>
      <c r="D14" s="5"/>
      <c r="E14" s="5"/>
      <c r="F14" s="4">
        <f>SUMIFS(Factors!$D$5:$D$19,Factors!$B$5:$B$19,'Trunking Size'!C14,cable,'Trunking Size'!D14)*E14</f>
        <v>0</v>
      </c>
    </row>
    <row r="15" spans="2:6">
      <c r="B15" s="5"/>
      <c r="C15" s="5"/>
      <c r="D15" s="5"/>
      <c r="E15" s="5"/>
      <c r="F15" s="4">
        <f>SUMIFS(Factors!$D$5:$D$19,Factors!$B$5:$B$19,'Trunking Size'!C15,cable,'Trunking Size'!D15)*E15</f>
        <v>0</v>
      </c>
    </row>
    <row r="16" spans="2:6">
      <c r="B16" s="5"/>
      <c r="C16" s="5"/>
      <c r="D16" s="5"/>
      <c r="E16" s="5"/>
      <c r="F16" s="4">
        <f>SUMIFS(Factors!$D$5:$D$19,Factors!$B$5:$B$19,'Trunking Size'!C16,cable,'Trunking Size'!D16)*E16</f>
        <v>0</v>
      </c>
    </row>
    <row r="17" spans="2:7">
      <c r="B17" s="5"/>
      <c r="C17" s="5"/>
      <c r="D17" s="5"/>
      <c r="E17" s="5"/>
      <c r="F17" s="4">
        <f>SUMIFS(Factors!$D$5:$D$19,Factors!$B$5:$B$19,'Trunking Size'!C17,cable,'Trunking Size'!D17)*E17</f>
        <v>0</v>
      </c>
    </row>
    <row r="18" spans="2:7">
      <c r="B18" s="5"/>
      <c r="C18" s="5"/>
      <c r="D18" s="5"/>
      <c r="E18" s="5"/>
      <c r="F18" s="4">
        <f>SUMIFS(Factors!$D$5:$D$19,Factors!$B$5:$B$19,'Trunking Size'!C18,cable,'Trunking Size'!D18)*E18</f>
        <v>0</v>
      </c>
    </row>
    <row r="19" spans="2:7">
      <c r="B19" s="5"/>
      <c r="C19" s="5"/>
      <c r="D19" s="5"/>
      <c r="E19" s="5"/>
      <c r="F19" s="4">
        <f>SUMIFS(Factors!$D$5:$D$19,Factors!$B$5:$B$19,'Trunking Size'!C19,cable,'Trunking Size'!D19)*E19</f>
        <v>0</v>
      </c>
    </row>
    <row r="20" spans="2:7">
      <c r="B20" s="5"/>
      <c r="C20" s="5"/>
      <c r="D20" s="5"/>
      <c r="E20" s="5"/>
      <c r="F20" s="4">
        <f>SUMIFS(Factors!$D$5:$D$19,Factors!$B$5:$B$19,'Trunking Size'!C20,cable,'Trunking Size'!D20)*E20</f>
        <v>0</v>
      </c>
    </row>
    <row r="21" spans="2:7">
      <c r="B21" s="5"/>
      <c r="C21" s="5"/>
      <c r="D21" s="5"/>
      <c r="E21" s="5"/>
      <c r="F21" s="4">
        <f>SUMIFS(Factors!$D$5:$D$19,Factors!$B$5:$B$19,'Trunking Size'!C21,cable,'Trunking Size'!D21)*E21</f>
        <v>0</v>
      </c>
    </row>
    <row r="22" spans="2:7">
      <c r="B22" s="5"/>
      <c r="C22" s="5"/>
      <c r="D22" s="5"/>
      <c r="E22" s="5"/>
      <c r="F22" s="4">
        <f>SUMIFS(Factors!$D$5:$D$19,Factors!$B$5:$B$19,'Trunking Size'!C22,cable,'Trunking Size'!D22)*E22</f>
        <v>0</v>
      </c>
    </row>
    <row r="23" spans="2:7">
      <c r="B23" s="5"/>
      <c r="C23" s="5"/>
      <c r="D23" s="5"/>
      <c r="E23" s="5"/>
      <c r="F23" s="4">
        <f>SUMIFS(Factors!$D$5:$D$19,Factors!$B$5:$B$19,'Trunking Size'!C23,cable,'Trunking Size'!D23)*E23</f>
        <v>0</v>
      </c>
    </row>
    <row r="24" spans="2:7">
      <c r="B24" s="5"/>
      <c r="C24" s="5"/>
      <c r="D24" s="5"/>
      <c r="E24" s="5"/>
      <c r="F24" s="4">
        <f>SUMIFS(Factors!$D$5:$D$19,Factors!$B$5:$B$19,'Trunking Size'!C24,cable,'Trunking Size'!D24)*E24</f>
        <v>0</v>
      </c>
    </row>
    <row r="25" spans="2:7">
      <c r="B25" s="5"/>
      <c r="C25" s="5"/>
      <c r="D25" s="5"/>
      <c r="E25" s="5"/>
      <c r="F25" s="4">
        <f>SUMIFS(Factors!$D$5:$D$19,Factors!$B$5:$B$19,'Trunking Size'!C25,cable,'Trunking Size'!D25)*E25</f>
        <v>0</v>
      </c>
    </row>
    <row r="26" spans="2:7">
      <c r="B26" s="5"/>
      <c r="C26" s="5"/>
      <c r="D26" s="5"/>
      <c r="E26" s="5"/>
      <c r="F26" s="4">
        <f>SUMIFS(Factors!$D$5:$D$19,Factors!$B$5:$B$19,'Trunking Size'!C26,cable,'Trunking Size'!D26)*E26</f>
        <v>0</v>
      </c>
    </row>
    <row r="27" spans="2:7" s="12" customFormat="1">
      <c r="B27" s="19" t="s">
        <v>38</v>
      </c>
      <c r="C27" s="19"/>
      <c r="D27" s="19"/>
      <c r="E27" s="19"/>
      <c r="F27" s="9">
        <f>SUM(F6:F26)</f>
        <v>1233</v>
      </c>
    </row>
    <row r="28" spans="2:7" s="12" customFormat="1">
      <c r="B28" s="19" t="s">
        <v>39</v>
      </c>
      <c r="C28" s="19"/>
      <c r="D28" s="19"/>
      <c r="E28" s="19"/>
      <c r="F28" s="16">
        <v>0.05</v>
      </c>
    </row>
    <row r="29" spans="2:7" s="12" customFormat="1">
      <c r="B29" s="19" t="s">
        <v>40</v>
      </c>
      <c r="C29" s="19"/>
      <c r="D29" s="19"/>
      <c r="E29" s="19"/>
      <c r="F29" s="9">
        <f>F27+(F27*F28)</f>
        <v>1294.6500000000001</v>
      </c>
    </row>
    <row r="30" spans="2:7" s="12" customFormat="1">
      <c r="B30" s="8"/>
      <c r="C30" s="8"/>
      <c r="D30" s="8"/>
      <c r="E30" s="8"/>
    </row>
    <row r="31" spans="2:7" s="13" customFormat="1" ht="18">
      <c r="B31" s="20" t="s">
        <v>41</v>
      </c>
      <c r="C31" s="20"/>
      <c r="D31" s="20"/>
      <c r="E31" s="20"/>
      <c r="F31" s="17" t="str">
        <f>VLOOKUP(F29,tru,2,TRUE)</f>
        <v>75 X 37.5</v>
      </c>
      <c r="G31" s="18" t="s">
        <v>42</v>
      </c>
    </row>
    <row r="32" spans="2:7">
      <c r="B32" s="8"/>
      <c r="C32" s="8"/>
      <c r="D32" s="8"/>
      <c r="E32" s="8"/>
    </row>
  </sheetData>
  <sheetProtection password="CE28" sheet="1" objects="1" scenarios="1" formatCells="0" formatColumns="0" formatRows="0" sort="0" autoFilter="0" pivotTables="0"/>
  <mergeCells count="6">
    <mergeCell ref="B27:E27"/>
    <mergeCell ref="B28:E28"/>
    <mergeCell ref="B29:E29"/>
    <mergeCell ref="B31:E31"/>
    <mergeCell ref="B2:F2"/>
    <mergeCell ref="B3:F3"/>
  </mergeCells>
  <dataValidations count="2">
    <dataValidation type="list" allowBlank="1" showInputMessage="1" showErrorMessage="1" sqref="D6:D26" xr:uid="{00000000-0002-0000-0000-000000000000}">
      <formula1>cable</formula1>
    </dataValidation>
    <dataValidation type="list" allowBlank="1" showInputMessage="1" showErrorMessage="1" sqref="C6:C26" xr:uid="{00000000-0002-0000-0000-000001000000}">
      <formula1>ty</formula1>
    </dataValidation>
  </dataValidations>
  <hyperlinks>
    <hyperlink ref="B3:F3" r:id="rId1" display="Jignesh.Parmar, www.electricalnotes.wordpress.com" xr:uid="{00000000-0004-0000-0000-000000000000}"/>
  </hyperlinks>
  <pageMargins left="0.7" right="0.7" top="0.75" bottom="0.75" header="0.3" footer="0.3"/>
  <pageSetup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58"/>
  <sheetViews>
    <sheetView showGridLines="0" topLeftCell="A37" zoomScale="80" zoomScaleNormal="80" workbookViewId="0">
      <selection activeCell="D11" sqref="D11"/>
    </sheetView>
  </sheetViews>
  <sheetFormatPr defaultRowHeight="15"/>
  <cols>
    <col min="2" max="2" width="21.38671875" customWidth="1"/>
    <col min="3" max="3" width="25.9609375" customWidth="1"/>
    <col min="4" max="4" width="19.7734375" customWidth="1"/>
    <col min="12" max="12" width="11.1640625" hidden="1" customWidth="1"/>
    <col min="13" max="13" width="16.94921875" hidden="1" customWidth="1"/>
  </cols>
  <sheetData>
    <row r="3" spans="2:4">
      <c r="B3" s="23" t="s">
        <v>0</v>
      </c>
      <c r="C3" s="23"/>
      <c r="D3" s="23"/>
    </row>
    <row r="4" spans="2:4">
      <c r="B4" s="6" t="s">
        <v>1</v>
      </c>
      <c r="C4" s="6" t="s">
        <v>2</v>
      </c>
      <c r="D4" s="6" t="s">
        <v>37</v>
      </c>
    </row>
    <row r="5" spans="2:4">
      <c r="B5" s="7" t="s">
        <v>4</v>
      </c>
      <c r="C5" s="7" t="s">
        <v>22</v>
      </c>
      <c r="D5" s="7">
        <v>7.1</v>
      </c>
    </row>
    <row r="6" spans="2:4">
      <c r="B6" s="7" t="s">
        <v>4</v>
      </c>
      <c r="C6" s="7" t="s">
        <v>23</v>
      </c>
      <c r="D6" s="7">
        <v>10.199999999999999</v>
      </c>
    </row>
    <row r="7" spans="2:4">
      <c r="B7" s="7" t="s">
        <v>5</v>
      </c>
      <c r="C7" s="7" t="s">
        <v>22</v>
      </c>
      <c r="D7" s="7">
        <v>8.1</v>
      </c>
    </row>
    <row r="8" spans="2:4">
      <c r="B8" s="7" t="s">
        <v>5</v>
      </c>
      <c r="C8" s="7" t="s">
        <v>23</v>
      </c>
      <c r="D8" s="7">
        <v>11.4</v>
      </c>
    </row>
    <row r="9" spans="2:4">
      <c r="B9" s="7" t="s">
        <v>5</v>
      </c>
      <c r="C9" s="7" t="s">
        <v>24</v>
      </c>
      <c r="D9" s="7">
        <v>15.2</v>
      </c>
    </row>
    <row r="10" spans="2:4">
      <c r="B10" s="7" t="s">
        <v>5</v>
      </c>
      <c r="C10" s="7" t="s">
        <v>25</v>
      </c>
      <c r="D10" s="7">
        <v>22.9</v>
      </c>
    </row>
    <row r="11" spans="2:4">
      <c r="B11" s="7" t="s">
        <v>5</v>
      </c>
      <c r="C11" s="7" t="s">
        <v>26</v>
      </c>
      <c r="D11" s="7">
        <v>36.299999999999997</v>
      </c>
    </row>
    <row r="12" spans="2:4">
      <c r="B12" s="7" t="s">
        <v>5</v>
      </c>
      <c r="C12" s="7" t="s">
        <v>27</v>
      </c>
      <c r="D12" s="7">
        <v>50.3</v>
      </c>
    </row>
    <row r="13" spans="2:4">
      <c r="B13" s="7" t="s">
        <v>5</v>
      </c>
      <c r="C13" s="7" t="s">
        <v>28</v>
      </c>
      <c r="D13" s="7">
        <v>75.400000000000006</v>
      </c>
    </row>
    <row r="14" spans="2:4">
      <c r="B14" s="7" t="s">
        <v>5</v>
      </c>
      <c r="C14" s="7" t="s">
        <v>29</v>
      </c>
      <c r="D14" s="7">
        <v>95</v>
      </c>
    </row>
    <row r="15" spans="2:4">
      <c r="B15" s="7" t="s">
        <v>5</v>
      </c>
      <c r="C15" s="7" t="s">
        <v>30</v>
      </c>
      <c r="D15" s="7">
        <v>132.69999999999999</v>
      </c>
    </row>
    <row r="16" spans="2:4">
      <c r="B16" s="7" t="s">
        <v>5</v>
      </c>
      <c r="C16" s="7" t="s">
        <v>31</v>
      </c>
      <c r="D16" s="7">
        <v>176.7</v>
      </c>
    </row>
    <row r="17" spans="2:13">
      <c r="B17" s="7" t="s">
        <v>5</v>
      </c>
      <c r="C17" s="7" t="s">
        <v>32</v>
      </c>
      <c r="D17" s="7">
        <v>227</v>
      </c>
    </row>
    <row r="18" spans="2:13">
      <c r="B18" s="7" t="s">
        <v>5</v>
      </c>
      <c r="C18" s="7" t="s">
        <v>33</v>
      </c>
      <c r="D18" s="7">
        <v>284</v>
      </c>
    </row>
    <row r="19" spans="2:13">
      <c r="B19" s="7" t="s">
        <v>5</v>
      </c>
      <c r="C19" s="7" t="s">
        <v>34</v>
      </c>
      <c r="D19" s="7">
        <v>346</v>
      </c>
    </row>
    <row r="21" spans="2:13">
      <c r="B21" s="23" t="s">
        <v>6</v>
      </c>
      <c r="C21" s="23"/>
    </row>
    <row r="22" spans="2:13">
      <c r="B22" s="14" t="s">
        <v>7</v>
      </c>
      <c r="C22" s="14" t="s">
        <v>3</v>
      </c>
      <c r="L22" s="10">
        <v>1</v>
      </c>
      <c r="M22" s="10" t="s">
        <v>8</v>
      </c>
    </row>
    <row r="23" spans="2:13">
      <c r="B23" s="15" t="s">
        <v>8</v>
      </c>
      <c r="C23" s="15">
        <v>738</v>
      </c>
      <c r="L23" s="10">
        <f>C23</f>
        <v>738</v>
      </c>
      <c r="M23" s="10" t="str">
        <f>B23</f>
        <v>75 X 25</v>
      </c>
    </row>
    <row r="24" spans="2:13">
      <c r="B24" s="15" t="s">
        <v>9</v>
      </c>
      <c r="C24" s="15">
        <v>767</v>
      </c>
      <c r="L24" s="10">
        <f t="shared" ref="L24:L36" si="0">C24</f>
        <v>767</v>
      </c>
      <c r="M24" s="10" t="str">
        <f t="shared" ref="M24:M36" si="1">B24</f>
        <v>50 X 37.5</v>
      </c>
    </row>
    <row r="25" spans="2:13">
      <c r="B25" s="15" t="s">
        <v>10</v>
      </c>
      <c r="C25" s="15">
        <v>993</v>
      </c>
      <c r="L25" s="10">
        <f t="shared" si="0"/>
        <v>993</v>
      </c>
      <c r="M25" s="10" t="str">
        <f t="shared" si="1"/>
        <v>100 X 50</v>
      </c>
    </row>
    <row r="26" spans="2:13">
      <c r="B26" s="15" t="s">
        <v>11</v>
      </c>
      <c r="C26" s="15">
        <v>1037</v>
      </c>
      <c r="L26" s="10">
        <f t="shared" si="0"/>
        <v>1037</v>
      </c>
      <c r="M26" s="10" t="str">
        <f t="shared" si="1"/>
        <v>50 x 50</v>
      </c>
    </row>
    <row r="27" spans="2:13">
      <c r="B27" s="15" t="s">
        <v>12</v>
      </c>
      <c r="C27" s="15">
        <v>1146</v>
      </c>
      <c r="L27" s="10">
        <f t="shared" si="0"/>
        <v>1146</v>
      </c>
      <c r="M27" s="10" t="str">
        <f t="shared" si="1"/>
        <v>75 X 37.5</v>
      </c>
    </row>
    <row r="28" spans="2:13">
      <c r="B28" s="15" t="s">
        <v>13</v>
      </c>
      <c r="C28" s="15">
        <v>1542</v>
      </c>
      <c r="L28" s="10">
        <f t="shared" si="0"/>
        <v>1542</v>
      </c>
      <c r="M28" s="10" t="str">
        <f t="shared" si="1"/>
        <v>100 X 37.5</v>
      </c>
    </row>
    <row r="29" spans="2:13">
      <c r="B29" s="15" t="s">
        <v>14</v>
      </c>
      <c r="C29" s="15">
        <v>1555</v>
      </c>
      <c r="L29" s="10">
        <f t="shared" si="0"/>
        <v>1555</v>
      </c>
      <c r="M29" s="10" t="str">
        <f t="shared" si="1"/>
        <v>75 X 50</v>
      </c>
    </row>
    <row r="30" spans="2:13">
      <c r="B30" s="15" t="s">
        <v>10</v>
      </c>
      <c r="C30" s="15">
        <v>2091</v>
      </c>
      <c r="L30" s="10">
        <f t="shared" si="0"/>
        <v>2091</v>
      </c>
      <c r="M30" s="10" t="str">
        <f t="shared" si="1"/>
        <v>100 X 50</v>
      </c>
    </row>
    <row r="31" spans="2:13">
      <c r="B31" s="15" t="s">
        <v>15</v>
      </c>
      <c r="C31" s="15">
        <v>2371</v>
      </c>
      <c r="L31" s="10">
        <f t="shared" si="0"/>
        <v>2371</v>
      </c>
      <c r="M31" s="10" t="str">
        <f t="shared" si="1"/>
        <v>75 X 75</v>
      </c>
    </row>
    <row r="32" spans="2:13">
      <c r="B32" s="15" t="s">
        <v>16</v>
      </c>
      <c r="C32" s="15">
        <v>3161</v>
      </c>
      <c r="L32" s="10">
        <f t="shared" si="0"/>
        <v>3161</v>
      </c>
      <c r="M32" s="10" t="str">
        <f t="shared" si="1"/>
        <v>150 X 50</v>
      </c>
    </row>
    <row r="33" spans="2:13">
      <c r="B33" s="15" t="s">
        <v>17</v>
      </c>
      <c r="C33" s="15">
        <v>3189</v>
      </c>
      <c r="L33" s="10">
        <f t="shared" si="0"/>
        <v>3189</v>
      </c>
      <c r="M33" s="10" t="str">
        <f t="shared" si="1"/>
        <v>100 X 75</v>
      </c>
    </row>
    <row r="34" spans="2:13">
      <c r="B34" s="15" t="s">
        <v>18</v>
      </c>
      <c r="C34" s="15">
        <v>4252</v>
      </c>
      <c r="L34" s="10">
        <f t="shared" si="0"/>
        <v>4252</v>
      </c>
      <c r="M34" s="10" t="str">
        <f t="shared" si="1"/>
        <v>100 X 100</v>
      </c>
    </row>
    <row r="35" spans="2:13">
      <c r="B35" s="15" t="s">
        <v>19</v>
      </c>
      <c r="C35" s="15">
        <v>4787</v>
      </c>
      <c r="L35" s="10">
        <f t="shared" si="0"/>
        <v>4787</v>
      </c>
      <c r="M35" s="10" t="str">
        <f t="shared" si="1"/>
        <v>150 X 75</v>
      </c>
    </row>
    <row r="36" spans="2:13">
      <c r="B36" s="15" t="s">
        <v>20</v>
      </c>
      <c r="C36" s="15">
        <v>6414</v>
      </c>
      <c r="L36" s="10">
        <f t="shared" si="0"/>
        <v>6414</v>
      </c>
      <c r="M36" s="10" t="str">
        <f t="shared" si="1"/>
        <v>150 X 100</v>
      </c>
    </row>
    <row r="37" spans="2:13">
      <c r="B37" s="15" t="s">
        <v>21</v>
      </c>
      <c r="C37" s="15">
        <v>9575</v>
      </c>
      <c r="L37" s="10">
        <f t="shared" ref="L37:L58" si="2">C37</f>
        <v>9575</v>
      </c>
      <c r="M37" s="10" t="str">
        <f t="shared" ref="M37:M58" si="3">B37</f>
        <v>150 X 150</v>
      </c>
    </row>
    <row r="38" spans="2:13">
      <c r="B38" s="15" t="s">
        <v>45</v>
      </c>
      <c r="C38" s="15">
        <v>3082</v>
      </c>
      <c r="L38" s="10">
        <f t="shared" si="2"/>
        <v>3082</v>
      </c>
      <c r="M38" s="10" t="str">
        <f t="shared" si="3"/>
        <v>200 X 38</v>
      </c>
    </row>
    <row r="39" spans="2:13">
      <c r="B39" s="15" t="s">
        <v>46</v>
      </c>
      <c r="C39" s="15">
        <v>4145</v>
      </c>
      <c r="L39" s="10">
        <f t="shared" si="2"/>
        <v>4145</v>
      </c>
      <c r="M39" s="10" t="str">
        <f t="shared" si="3"/>
        <v>200 X 50</v>
      </c>
    </row>
    <row r="40" spans="2:13">
      <c r="B40" s="15" t="s">
        <v>47</v>
      </c>
      <c r="C40" s="15">
        <v>6359</v>
      </c>
      <c r="L40" s="10">
        <f t="shared" si="2"/>
        <v>6359</v>
      </c>
      <c r="M40" s="10" t="str">
        <f t="shared" si="3"/>
        <v>200 X 75</v>
      </c>
    </row>
    <row r="41" spans="2:13">
      <c r="B41" s="15" t="s">
        <v>48</v>
      </c>
      <c r="C41" s="15">
        <v>8572</v>
      </c>
      <c r="L41" s="10">
        <f t="shared" si="2"/>
        <v>8572</v>
      </c>
      <c r="M41" s="10" t="str">
        <f t="shared" si="3"/>
        <v>200 X 100</v>
      </c>
    </row>
    <row r="42" spans="2:13">
      <c r="B42" s="15" t="s">
        <v>49</v>
      </c>
      <c r="C42" s="15">
        <v>13001</v>
      </c>
      <c r="L42" s="10">
        <f t="shared" si="2"/>
        <v>13001</v>
      </c>
      <c r="M42" s="10" t="str">
        <f t="shared" si="3"/>
        <v>200 X 150</v>
      </c>
    </row>
    <row r="43" spans="2:13">
      <c r="B43" s="15" t="s">
        <v>50</v>
      </c>
      <c r="C43" s="15">
        <v>17429</v>
      </c>
      <c r="L43" s="10">
        <f t="shared" si="2"/>
        <v>17429</v>
      </c>
      <c r="M43" s="10" t="str">
        <f t="shared" si="3"/>
        <v>200 X 200</v>
      </c>
    </row>
    <row r="44" spans="2:13">
      <c r="B44" s="15" t="s">
        <v>51</v>
      </c>
      <c r="C44" s="15">
        <v>3474</v>
      </c>
      <c r="L44" s="10">
        <f t="shared" si="2"/>
        <v>3474</v>
      </c>
      <c r="M44" s="10" t="str">
        <f t="shared" si="3"/>
        <v>225 X 38</v>
      </c>
    </row>
    <row r="45" spans="2:13">
      <c r="B45" s="15" t="s">
        <v>52</v>
      </c>
      <c r="C45" s="15">
        <v>4671</v>
      </c>
      <c r="L45" s="10">
        <f t="shared" si="2"/>
        <v>4671</v>
      </c>
      <c r="M45" s="10" t="str">
        <f t="shared" si="3"/>
        <v>225 X 50</v>
      </c>
    </row>
    <row r="46" spans="2:13">
      <c r="B46" s="15" t="s">
        <v>53</v>
      </c>
      <c r="C46" s="15">
        <v>7167</v>
      </c>
      <c r="L46" s="10">
        <f t="shared" si="2"/>
        <v>7167</v>
      </c>
      <c r="M46" s="10" t="str">
        <f t="shared" si="3"/>
        <v>225 X 75</v>
      </c>
    </row>
    <row r="47" spans="2:13">
      <c r="B47" s="15" t="s">
        <v>54</v>
      </c>
      <c r="C47" s="15">
        <v>9662</v>
      </c>
      <c r="L47" s="10">
        <f t="shared" si="2"/>
        <v>9662</v>
      </c>
      <c r="M47" s="10" t="str">
        <f t="shared" si="3"/>
        <v>225 X 100</v>
      </c>
    </row>
    <row r="48" spans="2:13">
      <c r="B48" s="15" t="s">
        <v>55</v>
      </c>
      <c r="C48" s="15">
        <v>14652</v>
      </c>
      <c r="L48" s="10">
        <f t="shared" si="2"/>
        <v>14652</v>
      </c>
      <c r="M48" s="10" t="str">
        <f t="shared" si="3"/>
        <v>225 X 150</v>
      </c>
    </row>
    <row r="49" spans="2:13">
      <c r="B49" s="15" t="s">
        <v>56</v>
      </c>
      <c r="C49" s="15">
        <v>19643</v>
      </c>
      <c r="L49" s="10">
        <f t="shared" si="2"/>
        <v>19643</v>
      </c>
      <c r="M49" s="10" t="str">
        <f t="shared" si="3"/>
        <v>225 X 200</v>
      </c>
    </row>
    <row r="50" spans="2:13">
      <c r="B50" s="15" t="s">
        <v>57</v>
      </c>
      <c r="C50" s="15">
        <v>22138</v>
      </c>
      <c r="L50" s="10">
        <f t="shared" si="2"/>
        <v>22138</v>
      </c>
      <c r="M50" s="10" t="str">
        <f t="shared" si="3"/>
        <v>225 X 225</v>
      </c>
    </row>
    <row r="51" spans="2:13">
      <c r="B51" s="15" t="s">
        <v>58</v>
      </c>
      <c r="C51" s="15">
        <v>4648</v>
      </c>
      <c r="L51" s="10">
        <f t="shared" si="2"/>
        <v>4648</v>
      </c>
      <c r="M51" s="10" t="str">
        <f t="shared" si="3"/>
        <v>300 X 38</v>
      </c>
    </row>
    <row r="52" spans="2:13">
      <c r="B52" s="15" t="s">
        <v>59</v>
      </c>
      <c r="C52" s="15">
        <v>6251</v>
      </c>
      <c r="L52" s="10">
        <f t="shared" si="2"/>
        <v>6251</v>
      </c>
      <c r="M52" s="10" t="str">
        <f t="shared" si="3"/>
        <v>300 X 50</v>
      </c>
    </row>
    <row r="53" spans="2:13">
      <c r="B53" s="15" t="s">
        <v>60</v>
      </c>
      <c r="C53" s="15">
        <v>9590</v>
      </c>
      <c r="L53" s="10">
        <f t="shared" si="2"/>
        <v>9590</v>
      </c>
      <c r="M53" s="10" t="str">
        <f t="shared" si="3"/>
        <v>300 X 75</v>
      </c>
    </row>
    <row r="54" spans="2:13">
      <c r="B54" s="15" t="s">
        <v>61</v>
      </c>
      <c r="C54" s="15">
        <v>12929</v>
      </c>
      <c r="L54" s="10">
        <f t="shared" si="2"/>
        <v>12929</v>
      </c>
      <c r="M54" s="10" t="str">
        <f t="shared" si="3"/>
        <v>300 X 100</v>
      </c>
    </row>
    <row r="55" spans="2:13">
      <c r="B55" s="15" t="s">
        <v>62</v>
      </c>
      <c r="C55" s="15">
        <v>19607</v>
      </c>
      <c r="L55" s="10">
        <f t="shared" si="2"/>
        <v>19607</v>
      </c>
      <c r="M55" s="10" t="str">
        <f t="shared" si="3"/>
        <v>300 X 150</v>
      </c>
    </row>
    <row r="56" spans="2:13">
      <c r="B56" s="15" t="s">
        <v>63</v>
      </c>
      <c r="C56" s="15">
        <v>26285</v>
      </c>
      <c r="L56" s="10">
        <f t="shared" si="2"/>
        <v>26285</v>
      </c>
      <c r="M56" s="10" t="str">
        <f t="shared" si="3"/>
        <v>300 X 200</v>
      </c>
    </row>
    <row r="57" spans="2:13">
      <c r="B57" s="15" t="s">
        <v>64</v>
      </c>
      <c r="C57" s="15">
        <v>29624</v>
      </c>
      <c r="L57" s="10">
        <f t="shared" si="2"/>
        <v>29624</v>
      </c>
      <c r="M57" s="10" t="str">
        <f t="shared" si="3"/>
        <v>300 X 225</v>
      </c>
    </row>
    <row r="58" spans="2:13">
      <c r="B58" s="15" t="s">
        <v>65</v>
      </c>
      <c r="C58" s="15">
        <v>39428</v>
      </c>
      <c r="L58" s="10">
        <f t="shared" si="2"/>
        <v>39428</v>
      </c>
      <c r="M58" s="10" t="str">
        <f t="shared" si="3"/>
        <v>300 X 300</v>
      </c>
    </row>
  </sheetData>
  <sheetProtection password="CE28" sheet="1" formatCells="0" formatColumns="0" sort="0" autoFilter="0" pivotTables="0"/>
  <mergeCells count="2">
    <mergeCell ref="B3:D3"/>
    <mergeCell ref="B21:C21"/>
  </mergeCells>
  <dataValidations count="1">
    <dataValidation type="list" allowBlank="1" showInputMessage="1" showErrorMessage="1" sqref="B7" xr:uid="{00000000-0002-0000-0100-000000000000}">
      <formula1>$B$6:$B$7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Trunking Size</vt:lpstr>
      <vt:lpstr>Factors</vt:lpstr>
      <vt:lpstr>cable</vt:lpstr>
      <vt:lpstr>tru</vt:lpstr>
      <vt:lpstr>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2018-11-03T12:30:47Z</dcterms:modified>
</cp:coreProperties>
</file>