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xr:revisionPtr revIDLastSave="0" documentId="13_ncr:1000001_{56ECB522-672E-0D46-B133-FC334E1CD73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P1,2,3,4" sheetId="1" r:id="rId1"/>
    <sheet name="LPB" sheetId="2" r:id="rId2"/>
    <sheet name="LPG1" sheetId="3" r:id="rId3"/>
    <sheet name="LPG2" sheetId="4" r:id="rId4"/>
    <sheet name="LPG3" sheetId="5" r:id="rId5"/>
    <sheet name="LPR" sheetId="6" r:id="rId6"/>
    <sheet name="MDP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7" l="1"/>
  <c r="G15" i="7"/>
  <c r="G21" i="7"/>
  <c r="G27" i="7"/>
  <c r="G33" i="7"/>
  <c r="G39" i="7"/>
  <c r="G45" i="7"/>
  <c r="X9" i="7"/>
  <c r="X15" i="7"/>
  <c r="X21" i="7"/>
  <c r="X27" i="7"/>
  <c r="X33" i="7"/>
  <c r="X39" i="7"/>
  <c r="X45" i="7"/>
  <c r="B49" i="7"/>
  <c r="H11" i="7"/>
  <c r="H17" i="7"/>
  <c r="H23" i="7"/>
  <c r="H29" i="7"/>
  <c r="H35" i="7"/>
  <c r="H41" i="7"/>
  <c r="H45" i="7"/>
  <c r="Y11" i="7"/>
  <c r="Y17" i="7"/>
  <c r="Y23" i="7"/>
  <c r="Y29" i="7"/>
  <c r="Y35" i="7"/>
  <c r="Y41" i="7"/>
  <c r="Y45" i="7"/>
  <c r="B50" i="7"/>
  <c r="I13" i="7"/>
  <c r="I19" i="7"/>
  <c r="I25" i="7"/>
  <c r="I31" i="7"/>
  <c r="I37" i="7"/>
  <c r="I43" i="7"/>
  <c r="I45" i="7"/>
  <c r="Z13" i="7"/>
  <c r="Z19" i="7"/>
  <c r="Z25" i="7"/>
  <c r="Z31" i="7"/>
  <c r="Z37" i="7"/>
  <c r="Z43" i="7"/>
  <c r="Z45" i="7"/>
  <c r="B51" i="7"/>
  <c r="B52" i="7"/>
  <c r="AE49" i="7"/>
  <c r="AE50" i="7"/>
  <c r="AE51" i="7"/>
  <c r="AE52" i="7"/>
  <c r="G9" i="6"/>
  <c r="G15" i="6"/>
  <c r="G21" i="6"/>
  <c r="X9" i="6"/>
  <c r="X15" i="6"/>
  <c r="X21" i="6"/>
  <c r="B25" i="6"/>
  <c r="H11" i="6"/>
  <c r="H17" i="6"/>
  <c r="H21" i="6"/>
  <c r="Y11" i="6"/>
  <c r="Y17" i="6"/>
  <c r="Y21" i="6"/>
  <c r="B26" i="6"/>
  <c r="I13" i="6"/>
  <c r="I19" i="6"/>
  <c r="I21" i="6"/>
  <c r="Z13" i="6"/>
  <c r="Z19" i="6"/>
  <c r="Z21" i="6"/>
  <c r="B27" i="6"/>
  <c r="B28" i="6"/>
  <c r="AE25" i="6"/>
  <c r="AE26" i="6"/>
  <c r="AE27" i="6"/>
  <c r="AE28" i="6"/>
  <c r="G9" i="5"/>
  <c r="G15" i="5"/>
  <c r="G17" i="5"/>
  <c r="X9" i="5"/>
  <c r="X15" i="5"/>
  <c r="X17" i="5"/>
  <c r="B21" i="5"/>
  <c r="H11" i="5"/>
  <c r="H17" i="5"/>
  <c r="Y11" i="5"/>
  <c r="Y17" i="5"/>
  <c r="B22" i="5"/>
  <c r="I13" i="5"/>
  <c r="I17" i="5"/>
  <c r="Z13" i="5"/>
  <c r="Z17" i="5"/>
  <c r="B23" i="5"/>
  <c r="B24" i="5"/>
  <c r="AE21" i="5"/>
  <c r="AE22" i="5"/>
  <c r="AE23" i="5"/>
  <c r="AE24" i="5"/>
  <c r="G9" i="4"/>
  <c r="G15" i="4"/>
  <c r="G21" i="4"/>
  <c r="X9" i="4"/>
  <c r="X15" i="4"/>
  <c r="X21" i="4"/>
  <c r="B25" i="4"/>
  <c r="H11" i="4"/>
  <c r="H21" i="4"/>
  <c r="Y11" i="4"/>
  <c r="Y21" i="4"/>
  <c r="B26" i="4"/>
  <c r="I13" i="4"/>
  <c r="I21" i="4"/>
  <c r="Z13" i="4"/>
  <c r="Z21" i="4"/>
  <c r="B27" i="4"/>
  <c r="B28" i="4"/>
  <c r="AE25" i="4"/>
  <c r="AE26" i="4"/>
  <c r="AE27" i="4"/>
  <c r="AE28" i="4"/>
  <c r="Z19" i="4"/>
  <c r="I19" i="4"/>
  <c r="Y17" i="4"/>
  <c r="H17" i="4"/>
  <c r="G9" i="3"/>
  <c r="G15" i="3"/>
  <c r="G17" i="3"/>
  <c r="X9" i="3"/>
  <c r="X15" i="3"/>
  <c r="X17" i="3"/>
  <c r="B21" i="3"/>
  <c r="H11" i="3"/>
  <c r="H17" i="3"/>
  <c r="Y11" i="3"/>
  <c r="Y17" i="3"/>
  <c r="B22" i="3"/>
  <c r="I13" i="3"/>
  <c r="I17" i="3"/>
  <c r="Z13" i="3"/>
  <c r="Z17" i="3"/>
  <c r="B23" i="3"/>
  <c r="B24" i="3"/>
  <c r="AE21" i="3"/>
  <c r="AE22" i="3"/>
  <c r="AE23" i="3"/>
  <c r="AE24" i="3"/>
  <c r="G9" i="2"/>
  <c r="G15" i="2"/>
  <c r="G21" i="2"/>
  <c r="X9" i="2"/>
  <c r="X15" i="2"/>
  <c r="X21" i="2"/>
  <c r="B25" i="2"/>
  <c r="H11" i="2"/>
  <c r="H17" i="2"/>
  <c r="H21" i="2"/>
  <c r="Y11" i="2"/>
  <c r="Y17" i="2"/>
  <c r="Y21" i="2"/>
  <c r="B26" i="2"/>
  <c r="I13" i="2"/>
  <c r="I19" i="2"/>
  <c r="I21" i="2"/>
  <c r="Z19" i="2"/>
  <c r="Z21" i="2"/>
  <c r="B27" i="2"/>
  <c r="B28" i="2"/>
  <c r="AE25" i="2"/>
  <c r="AE26" i="2"/>
  <c r="AE27" i="2"/>
  <c r="AE28" i="2"/>
  <c r="E9" i="1"/>
  <c r="G9" i="1"/>
  <c r="G15" i="1"/>
  <c r="G21" i="1"/>
  <c r="G33" i="1"/>
  <c r="G39" i="1"/>
  <c r="G45" i="1"/>
  <c r="X9" i="1"/>
  <c r="X15" i="1"/>
  <c r="X21" i="1"/>
  <c r="X27" i="1"/>
  <c r="X33" i="1"/>
  <c r="X39" i="1"/>
  <c r="X45" i="1"/>
  <c r="B49" i="1"/>
  <c r="H11" i="1"/>
  <c r="H17" i="1"/>
  <c r="H23" i="1"/>
  <c r="H29" i="1"/>
  <c r="H35" i="1"/>
  <c r="H41" i="1"/>
  <c r="H45" i="1"/>
  <c r="Y11" i="1"/>
  <c r="Y17" i="1"/>
  <c r="Y23" i="1"/>
  <c r="Y29" i="1"/>
  <c r="Y35" i="1"/>
  <c r="Y41" i="1"/>
  <c r="Y45" i="1"/>
  <c r="B50" i="1"/>
  <c r="I13" i="1"/>
  <c r="I19" i="1"/>
  <c r="I25" i="1"/>
  <c r="I31" i="1"/>
  <c r="I37" i="1"/>
  <c r="I43" i="1"/>
  <c r="I45" i="1"/>
  <c r="Z13" i="1"/>
  <c r="Z19" i="1"/>
  <c r="Z25" i="1"/>
  <c r="Z31" i="1"/>
  <c r="Z37" i="1"/>
  <c r="Z43" i="1"/>
  <c r="Z45" i="1"/>
  <c r="B51" i="1"/>
  <c r="B52" i="1"/>
  <c r="AE49" i="1"/>
  <c r="AE50" i="1"/>
  <c r="AE51" i="1"/>
  <c r="AE52" i="1"/>
</calcChain>
</file>

<file path=xl/sharedStrings.xml><?xml version="1.0" encoding="utf-8"?>
<sst xmlns="http://schemas.openxmlformats.org/spreadsheetml/2006/main" count="684" uniqueCount="126">
  <si>
    <t>PANEL BOARD LOAD SCHEDULE, LP1,LP2,LP3,LP4  TYPICAL</t>
  </si>
  <si>
    <t xml:space="preserve">PANEL BOARD </t>
  </si>
  <si>
    <t>LP1,LP2,LP3,LP4</t>
  </si>
  <si>
    <t>ENCLOSURE TYPE</t>
  </si>
  <si>
    <t>NEMA 12</t>
  </si>
  <si>
    <t>LOCATION :</t>
  </si>
  <si>
    <t>TYPICAL FLOOR</t>
  </si>
  <si>
    <t xml:space="preserve">SERVICE VOLTAGE </t>
  </si>
  <si>
    <t>380/220,3PH,4W,50HZ</t>
  </si>
  <si>
    <t>BUS RATING</t>
  </si>
  <si>
    <t>100 AMPS.</t>
  </si>
  <si>
    <t>MOUNTING :</t>
  </si>
  <si>
    <t>FLUSH MOUNTED ON WALL</t>
  </si>
  <si>
    <t>MINIMUM I.C.</t>
  </si>
  <si>
    <t>25KAIC</t>
  </si>
  <si>
    <t>Conduit Dia in mm</t>
  </si>
  <si>
    <t xml:space="preserve">LOAD </t>
  </si>
  <si>
    <t>Breaker</t>
  </si>
  <si>
    <t>NO OF POINT</t>
  </si>
  <si>
    <t>VA PER POINT</t>
  </si>
  <si>
    <t>PHASE LOAD (VA)</t>
  </si>
  <si>
    <t>CONDUCTOR  (mm2)</t>
  </si>
  <si>
    <t>CKT   NO.</t>
  </si>
  <si>
    <t>BUS CONNECTION</t>
  </si>
  <si>
    <t>DESCRIPTION.</t>
  </si>
  <si>
    <t>Pole</t>
  </si>
  <si>
    <t>AT</t>
  </si>
  <si>
    <t>R</t>
  </si>
  <si>
    <t>Y</t>
  </si>
  <si>
    <t>B</t>
  </si>
  <si>
    <t>PHASE</t>
  </si>
  <si>
    <t>GND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</si>
  <si>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</si>
  <si>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</si>
  <si>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</si>
  <si>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</si>
  <si>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</si>
  <si>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</si>
  <si>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</si>
  <si>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</si>
  <si>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</si>
  <si>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Smoke</t>
  </si>
  <si>
    <t>LP1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</si>
  <si>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</si>
  <si>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</si>
  <si>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</si>
  <si>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</si>
  <si>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</si>
  <si>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</si>
  <si>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</si>
  <si>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</si>
  <si>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</si>
  <si>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</si>
  <si>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</si>
  <si>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</si>
  <si>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</si>
  <si>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LP15</t>
  </si>
  <si>
    <t>LP16</t>
  </si>
  <si>
    <t>LAC1</t>
  </si>
  <si>
    <t>LAC2</t>
  </si>
  <si>
    <t>LAC3</t>
  </si>
  <si>
    <t>LAC4</t>
  </si>
  <si>
    <t>LAC5</t>
  </si>
  <si>
    <t xml:space="preserve">SPARE </t>
  </si>
  <si>
    <t>SPARE</t>
  </si>
  <si>
    <t>TOTAL</t>
  </si>
  <si>
    <t>SN</t>
  </si>
  <si>
    <t xml:space="preserve">DEMEND FACTOR </t>
  </si>
  <si>
    <t>%</t>
  </si>
  <si>
    <t>BUS R</t>
  </si>
  <si>
    <t>VA</t>
  </si>
  <si>
    <t>MAIN BREAKER :</t>
  </si>
  <si>
    <t>63AT/100AF,380V,3P,50HZ</t>
  </si>
  <si>
    <t>DEMAND LOAD</t>
  </si>
  <si>
    <t>KVA</t>
  </si>
  <si>
    <t>BUS Y</t>
  </si>
  <si>
    <t>FEED:</t>
  </si>
  <si>
    <t>TOP</t>
  </si>
  <si>
    <t>20% SPARE LOAD</t>
  </si>
  <si>
    <t>BUS B</t>
  </si>
  <si>
    <t>FEEDER SIZE :</t>
  </si>
  <si>
    <t>4C-16mm2 ph +1C-10mm2 G CU,XLPE/PVC</t>
  </si>
  <si>
    <t>MAXDEMAND LOAD</t>
  </si>
  <si>
    <t>SOURCE :</t>
  </si>
  <si>
    <t>MDP</t>
  </si>
  <si>
    <t>MAX DEMAND CURRENT</t>
  </si>
  <si>
    <t>A</t>
  </si>
  <si>
    <t>PANEL BOARD LOAD SCHEDULE, LPB</t>
  </si>
  <si>
    <t>LPB</t>
  </si>
  <si>
    <t>BASEMENT FLOOR</t>
  </si>
  <si>
    <t>50 AMPS.</t>
  </si>
  <si>
    <t>SURFACE MOUNTED ON WALL</t>
  </si>
  <si>
    <t>14KAIC</t>
  </si>
  <si>
    <t>Spare</t>
  </si>
  <si>
    <t>32AT/50AF,380V,3P,50HZ</t>
  </si>
  <si>
    <t>4C-6mm2 ph +1C-4mm2 G CU,XLPE/PVC</t>
  </si>
  <si>
    <t>PANEL BOARD LOAD SCHEDULE, LPG1</t>
  </si>
  <si>
    <t>LPG1</t>
  </si>
  <si>
    <t>GROUND FLOOR ( SHOP 1)</t>
  </si>
  <si>
    <t>32AT/50AF,50V,3P,50HZ</t>
  </si>
  <si>
    <t>PANEL BOARD LOAD SCHEDULE, LPG2</t>
  </si>
  <si>
    <t>LPG2</t>
  </si>
  <si>
    <t>GROUND FLOOR (SHOP 2)</t>
  </si>
  <si>
    <t>PANEL BOARD LOAD SCHEDULE, LPG3</t>
  </si>
  <si>
    <t>LPG3</t>
  </si>
  <si>
    <t>GROUND FLOOR (SHOP 3)</t>
  </si>
  <si>
    <t>PANEL BOARD LOAD SCHEDULE, LPR</t>
  </si>
  <si>
    <t>LPR</t>
  </si>
  <si>
    <t>ROOF FLOOR</t>
  </si>
  <si>
    <t>LFR</t>
  </si>
  <si>
    <t>Elevator</t>
  </si>
  <si>
    <t>4 x10</t>
  </si>
  <si>
    <t>LACR</t>
  </si>
  <si>
    <t>LM</t>
  </si>
  <si>
    <t>PANEL BOARD LOAD SCHEDULE, MDP</t>
  </si>
  <si>
    <t>GROUND FLOOR</t>
  </si>
  <si>
    <t>250 AMPS.</t>
  </si>
  <si>
    <t>32 /50</t>
  </si>
  <si>
    <t>4 x6</t>
  </si>
  <si>
    <t>32/50</t>
  </si>
  <si>
    <t>60/100</t>
  </si>
  <si>
    <t>4 x16</t>
  </si>
  <si>
    <t>40/60</t>
  </si>
  <si>
    <t>250AT/300AF,380V,3P,50HZ</t>
  </si>
  <si>
    <t>4C-150mm2 ph +1C-70mm2 G CU,XLPE/PVC</t>
  </si>
  <si>
    <t>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</si>
</sst>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</font>
    <font>
      <sz val="11"/>
      <name val="Arial"/>
    </font>
    <font>
      <sz val="28"/>
      <name val="Arial"/>
    </font>
    <font>
      <sz val="10"/>
      <name val="Arial"/>
    </font>
    <font>
      <sz val="10"/>
      <name val="Arial"/>
    </font>
    <font>
      <sz val="18"/>
      <name val="Arial"/>
    </font>
    <font>
      <b/>
      <sz val="18"/>
      <name val="Arial"/>
    </font>
    <font>
      <b/>
      <sz val="16"/>
      <name val="Arial"/>
    </font>
    <font>
      <b/>
      <sz val="14"/>
      <name val="Arial"/>
    </font>
    <font>
      <sz val="28"/>
      <color rgb="FFFF0000"/>
      <name val="Times"/>
    </font>
    <font>
      <sz val="28"/>
      <color rgb="FFFFFF00"/>
      <name val="Times"/>
    </font>
    <font>
      <sz val="28"/>
      <color rgb="FF0066CC"/>
      <name val="Times"/>
    </font>
    <font>
      <sz val="20"/>
      <name val="Arial"/>
    </font>
    <font>
      <sz val="14"/>
      <name val="Arial"/>
    </font>
    <font>
      <sz val="20"/>
      <color rgb="FFFF0000"/>
      <name val="Algerian"/>
    </font>
    <font>
      <sz val="14"/>
      <name val="Algerian"/>
    </font>
    <font>
      <sz val="20"/>
      <color rgb="FFFFFF00"/>
      <name val="Algerian"/>
    </font>
    <font>
      <sz val="20"/>
      <color rgb="FF0066CC"/>
      <name val="Algerian"/>
    </font>
    <font>
      <b/>
      <sz val="14"/>
      <color rgb="FFFF0000"/>
      <name val="Arial"/>
    </font>
    <font>
      <b/>
      <sz val="14"/>
      <color rgb="FFFFFF00"/>
      <name val="Arial"/>
    </font>
    <font>
      <b/>
      <sz val="14"/>
      <color rgb="FF0066CC"/>
      <name val="Arial"/>
    </font>
    <font>
      <sz val="16"/>
      <name val="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ABF8F"/>
        <bgColor rgb="FFFABF8F"/>
      </patternFill>
    </fill>
    <fill>
      <patternFill patternType="solid">
        <fgColor rgb="FF7F7F7F"/>
        <bgColor rgb="FF7F7F7F"/>
      </patternFill>
    </fill>
    <fill>
      <patternFill patternType="solid">
        <fgColor rgb="FFE5B8B7"/>
        <bgColor rgb="FFE5B8B7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EEECE1"/>
      </left>
      <right/>
      <top/>
      <bottom/>
      <diagonal/>
    </border>
    <border>
      <left style="medium">
        <color rgb="FFEEECE1"/>
      </left>
      <right/>
      <top style="medium">
        <color rgb="FFEEECE1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rgb="FF938953"/>
      </bottom>
      <diagonal/>
    </border>
    <border>
      <left style="medium">
        <color rgb="FFEEECE1"/>
      </left>
      <right/>
      <top style="medium">
        <color rgb="FFEEECE1"/>
      </top>
      <bottom style="thick">
        <color rgb="FF938953"/>
      </bottom>
      <diagonal/>
    </border>
    <border>
      <left/>
      <right/>
      <top style="dotted">
        <color rgb="FF0066CC"/>
      </top>
      <bottom/>
      <diagonal/>
    </border>
    <border>
      <left style="medium">
        <color rgb="FFEEECE1"/>
      </left>
      <right/>
      <top/>
      <bottom style="medium">
        <color rgb="FF000000"/>
      </bottom>
      <diagonal/>
    </border>
    <border>
      <left style="medium">
        <color rgb="FFEEECE1"/>
      </left>
      <right/>
      <top style="medium">
        <color rgb="FFEEECE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40">
    <xf numFmtId="0" fontId="0" fillId="0" borderId="0" xfId="0" applyFont="1" applyAlignment="1"/>
    <xf numFmtId="0" fontId="1" fillId="0" borderId="0" xfId="0" applyFont="1" applyAlignment="1"/>
    <xf numFmtId="0" fontId="4" fillId="0" borderId="4" xfId="0" applyFont="1" applyBorder="1" applyAlignment="1"/>
    <xf numFmtId="0" fontId="5" fillId="0" borderId="5" xfId="0" applyFont="1" applyBorder="1" applyAlignment="1">
      <alignment horizontal="left"/>
    </xf>
    <xf numFmtId="0" fontId="4" fillId="0" borderId="0" xfId="0" applyFont="1" applyAlignment="1"/>
    <xf numFmtId="0" fontId="5" fillId="0" borderId="6" xfId="0" applyFont="1" applyBorder="1" applyAlignment="1"/>
    <xf numFmtId="0" fontId="4" fillId="0" borderId="5" xfId="0" applyFont="1" applyBorder="1" applyAlignment="1"/>
    <xf numFmtId="0" fontId="5" fillId="0" borderId="5" xfId="0" applyFont="1" applyBorder="1" applyAlignment="1">
      <alignment horizontal="center"/>
    </xf>
    <xf numFmtId="0" fontId="6" fillId="0" borderId="5" xfId="0" applyFont="1" applyBorder="1" applyAlignment="1"/>
    <xf numFmtId="0" fontId="4" fillId="0" borderId="7" xfId="0" applyFont="1" applyBorder="1" applyAlignment="1"/>
    <xf numFmtId="0" fontId="4" fillId="0" borderId="8" xfId="0" applyFont="1" applyBorder="1" applyAlignment="1"/>
    <xf numFmtId="0" fontId="5" fillId="0" borderId="0" xfId="0" applyFont="1" applyAlignment="1">
      <alignment horizontal="left"/>
    </xf>
    <xf numFmtId="0" fontId="5" fillId="0" borderId="9" xfId="0" applyFont="1" applyBorder="1" applyAlignment="1"/>
    <xf numFmtId="0" fontId="5" fillId="0" borderId="0" xfId="0" applyFont="1" applyAlignment="1">
      <alignment horizontal="center"/>
    </xf>
    <xf numFmtId="0" fontId="6" fillId="0" borderId="0" xfId="0" applyFont="1" applyAlignment="1"/>
    <xf numFmtId="0" fontId="4" fillId="0" borderId="10" xfId="0" applyFont="1" applyBorder="1" applyAlignment="1"/>
    <xf numFmtId="0" fontId="6" fillId="0" borderId="0" xfId="0" applyFont="1" applyAlignment="1">
      <alignment horizontal="right"/>
    </xf>
    <xf numFmtId="0" fontId="1" fillId="0" borderId="11" xfId="0" applyFont="1" applyBorder="1" applyAlignment="1"/>
    <xf numFmtId="0" fontId="4" fillId="0" borderId="12" xfId="0" applyFont="1" applyBorder="1" applyAlignment="1"/>
    <xf numFmtId="0" fontId="6" fillId="0" borderId="12" xfId="0" applyFont="1" applyBorder="1" applyAlignment="1"/>
    <xf numFmtId="0" fontId="1" fillId="0" borderId="12" xfId="0" applyFont="1" applyBorder="1" applyAlignment="1"/>
    <xf numFmtId="0" fontId="1" fillId="0" borderId="13" xfId="0" applyFont="1" applyBorder="1" applyAlignment="1"/>
    <xf numFmtId="0" fontId="7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right" wrapText="1"/>
    </xf>
    <xf numFmtId="0" fontId="7" fillId="0" borderId="10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" fillId="0" borderId="8" xfId="0" applyFont="1" applyBorder="1" applyAlignment="1"/>
    <xf numFmtId="0" fontId="1" fillId="0" borderId="10" xfId="0" applyFont="1" applyBorder="1" applyAlignment="1"/>
    <xf numFmtId="0" fontId="13" fillId="0" borderId="12" xfId="0" applyFont="1" applyBorder="1" applyAlignment="1">
      <alignment horizontal="center" vertical="center"/>
    </xf>
    <xf numFmtId="0" fontId="5" fillId="0" borderId="0" xfId="0" applyFont="1" applyAlignment="1"/>
    <xf numFmtId="0" fontId="5" fillId="0" borderId="25" xfId="0" applyFont="1" applyBorder="1" applyAlignment="1">
      <alignment horizontal="center"/>
    </xf>
    <xf numFmtId="0" fontId="5" fillId="0" borderId="10" xfId="0" applyFont="1" applyBorder="1" applyAlignment="1"/>
    <xf numFmtId="0" fontId="14" fillId="2" borderId="40" xfId="0" applyFont="1" applyFill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6" fillId="2" borderId="41" xfId="0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2" fillId="0" borderId="42" xfId="0" applyFont="1" applyBorder="1" applyAlignment="1">
      <alignment horizontal="center"/>
    </xf>
    <xf numFmtId="0" fontId="21" fillId="0" borderId="0" xfId="0" applyFont="1" applyAlignment="1"/>
    <xf numFmtId="2" fontId="5" fillId="0" borderId="25" xfId="0" applyNumberFormat="1" applyFont="1" applyBorder="1" applyAlignment="1">
      <alignment horizontal="center"/>
    </xf>
    <xf numFmtId="0" fontId="9" fillId="2" borderId="43" xfId="0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0" fontId="11" fillId="2" borderId="4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4" fillId="0" borderId="47" xfId="0" applyFont="1" applyBorder="1" applyAlignment="1"/>
    <xf numFmtId="0" fontId="4" fillId="0" borderId="26" xfId="0" applyFont="1" applyBorder="1" applyAlignment="1"/>
    <xf numFmtId="0" fontId="5" fillId="0" borderId="25" xfId="0" applyFont="1" applyBorder="1" applyAlignment="1"/>
    <xf numFmtId="0" fontId="5" fillId="0" borderId="25" xfId="0" applyFont="1" applyBorder="1" applyAlignment="1">
      <alignment horizontal="left"/>
    </xf>
    <xf numFmtId="0" fontId="4" fillId="0" borderId="49" xfId="0" applyFont="1" applyBorder="1" applyAlignment="1"/>
    <xf numFmtId="0" fontId="12" fillId="0" borderId="32" xfId="0" applyFont="1" applyBorder="1" applyAlignment="1">
      <alignment horizontal="center" vertical="center"/>
    </xf>
    <xf numFmtId="0" fontId="3" fillId="0" borderId="29" xfId="0" applyFont="1" applyBorder="1"/>
    <xf numFmtId="0" fontId="12" fillId="0" borderId="31" xfId="0" applyFont="1" applyBorder="1" applyAlignment="1">
      <alignment horizontal="center" vertical="center"/>
    </xf>
    <xf numFmtId="0" fontId="3" fillId="0" borderId="28" xfId="0" applyFont="1" applyBorder="1"/>
    <xf numFmtId="0" fontId="3" fillId="0" borderId="34" xfId="0" applyFont="1" applyBorder="1"/>
    <xf numFmtId="0" fontId="13" fillId="0" borderId="32" xfId="0" applyFont="1" applyBorder="1" applyAlignment="1">
      <alignment horizontal="center" vertical="center"/>
    </xf>
    <xf numFmtId="0" fontId="3" fillId="0" borderId="35" xfId="0" applyFont="1" applyBorder="1"/>
    <xf numFmtId="0" fontId="12" fillId="0" borderId="23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3" fillId="0" borderId="36" xfId="0" applyFont="1" applyBorder="1"/>
    <xf numFmtId="0" fontId="15" fillId="0" borderId="16" xfId="0" applyFont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6" fillId="2" borderId="32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3" fillId="0" borderId="30" xfId="0" applyFont="1" applyBorder="1"/>
    <xf numFmtId="0" fontId="12" fillId="0" borderId="33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 applyFont="1" applyAlignment="1"/>
    <xf numFmtId="0" fontId="1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11" xfId="0" applyFont="1" applyBorder="1"/>
    <xf numFmtId="0" fontId="3" fillId="0" borderId="13" xfId="0" applyFont="1" applyBorder="1"/>
    <xf numFmtId="0" fontId="18" fillId="3" borderId="14" xfId="0" applyFont="1" applyFill="1" applyBorder="1" applyAlignment="1">
      <alignment horizontal="center" vertical="center"/>
    </xf>
    <xf numFmtId="0" fontId="3" fillId="0" borderId="38" xfId="0" applyFont="1" applyBorder="1"/>
    <xf numFmtId="0" fontId="19" fillId="4" borderId="37" xfId="0" applyFont="1" applyFill="1" applyBorder="1" applyAlignment="1">
      <alignment horizontal="center" vertical="center"/>
    </xf>
    <xf numFmtId="0" fontId="3" fillId="0" borderId="39" xfId="0" applyFont="1" applyBorder="1"/>
    <xf numFmtId="0" fontId="20" fillId="5" borderId="14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3" fillId="0" borderId="12" xfId="0" applyFont="1" applyBorder="1"/>
    <xf numFmtId="0" fontId="5" fillId="0" borderId="6" xfId="0" applyFont="1" applyBorder="1" applyAlignment="1">
      <alignment horizontal="left"/>
    </xf>
    <xf numFmtId="0" fontId="3" fillId="0" borderId="6" xfId="0" applyFont="1" applyBorder="1"/>
    <xf numFmtId="0" fontId="5" fillId="0" borderId="5" xfId="0" applyFont="1" applyBorder="1" applyAlignment="1">
      <alignment horizontal="center"/>
    </xf>
    <xf numFmtId="0" fontId="3" fillId="0" borderId="5" xfId="0" applyFont="1" applyBorder="1"/>
    <xf numFmtId="0" fontId="5" fillId="0" borderId="9" xfId="0" applyFont="1" applyBorder="1" applyAlignment="1">
      <alignment horizontal="center"/>
    </xf>
    <xf numFmtId="0" fontId="3" fillId="0" borderId="9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0" borderId="5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7" fillId="0" borderId="14" xfId="0" applyFont="1" applyBorder="1" applyAlignment="1">
      <alignment horizontal="center" vertical="center" wrapText="1"/>
    </xf>
    <xf numFmtId="0" fontId="3" fillId="0" borderId="18" xfId="0" applyFont="1" applyBorder="1"/>
    <xf numFmtId="0" fontId="5" fillId="0" borderId="14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8" fillId="0" borderId="16" xfId="0" applyFont="1" applyBorder="1" applyAlignment="1">
      <alignment horizontal="center" vertical="center" shrinkToFit="1"/>
    </xf>
    <xf numFmtId="0" fontId="3" fillId="0" borderId="20" xfId="0" applyFont="1" applyBorder="1"/>
    <xf numFmtId="0" fontId="3" fillId="0" borderId="17" xfId="0" applyFont="1" applyBorder="1"/>
    <xf numFmtId="0" fontId="8" fillId="0" borderId="14" xfId="0" applyFont="1" applyBorder="1" applyAlignment="1">
      <alignment horizontal="center" vertical="center" shrinkToFit="1"/>
    </xf>
    <xf numFmtId="0" fontId="3" fillId="0" borderId="19" xfId="0" applyFont="1" applyBorder="1"/>
    <xf numFmtId="0" fontId="7" fillId="0" borderId="4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2" xfId="0" applyFont="1" applyBorder="1" applyAlignment="1">
      <alignment horizontal="right" vertical="center"/>
    </xf>
    <xf numFmtId="0" fontId="13" fillId="0" borderId="1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3" fillId="0" borderId="10" xfId="0" applyFont="1" applyBorder="1"/>
    <xf numFmtId="0" fontId="18" fillId="3" borderId="45" xfId="0" applyFont="1" applyFill="1" applyBorder="1" applyAlignment="1">
      <alignment horizontal="center" vertical="center"/>
    </xf>
    <xf numFmtId="0" fontId="19" fillId="4" borderId="46" xfId="0" applyFont="1" applyFill="1" applyBorder="1" applyAlignment="1">
      <alignment horizontal="center" vertical="center"/>
    </xf>
    <xf numFmtId="0" fontId="20" fillId="5" borderId="4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/>
    </xf>
    <xf numFmtId="0" fontId="3" fillId="0" borderId="25" xfId="0" applyFont="1" applyBorder="1"/>
    <xf numFmtId="0" fontId="3" fillId="0" borderId="26" xfId="0" applyFont="1" applyBorder="1"/>
    <xf numFmtId="0" fontId="5" fillId="0" borderId="25" xfId="0" applyFont="1" applyBorder="1" applyAlignment="1">
      <alignment horizontal="left"/>
    </xf>
    <xf numFmtId="0" fontId="3" fillId="0" borderId="48" xfId="0" applyFont="1" applyBorder="1"/>
    <xf numFmtId="0" fontId="3" fillId="0" borderId="5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28575</xdr:colOff>
      <xdr:row>8</xdr:row>
      <xdr:rowOff>95250</xdr:rowOff>
    </xdr:from>
    <xdr:ext cx="266700" cy="180975"/>
    <xdr:sp macro="" textlink="">
      <xdr:nvSpPr>
        <xdr:cNvPr id="9185" name="Shape 9185">
          <a:extLst>
            <a:ext uri="{FF2B5EF4-FFF2-40B4-BE49-F238E27FC236}">
              <a16:creationId xmlns:a16="http://schemas.microsoft.com/office/drawing/2014/main" id="{00000000-0008-0000-0000-0000E123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911" y="25"/>
            </a:cxn>
            <a:cxn ang="0">
              <a:pos x="36159" y="3317"/>
            </a:cxn>
            <a:cxn ang="0">
              <a:pos x="12251" y="167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9525</xdr:colOff>
      <xdr:row>8</xdr:row>
      <xdr:rowOff>85725</xdr:rowOff>
    </xdr:from>
    <xdr:ext cx="285750" cy="171450"/>
    <xdr:sp macro="" textlink="">
      <xdr:nvSpPr>
        <xdr:cNvPr id="9186" name="Shape 9186">
          <a:extLst>
            <a:ext uri="{FF2B5EF4-FFF2-40B4-BE49-F238E27FC236}">
              <a16:creationId xmlns:a16="http://schemas.microsoft.com/office/drawing/2014/main" id="{00000000-0008-0000-0000-0000E223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14</xdr:col>
      <xdr:colOff>200025</xdr:colOff>
      <xdr:row>8</xdr:row>
      <xdr:rowOff>200025</xdr:rowOff>
    </xdr:from>
    <xdr:ext cx="95250" cy="123825"/>
    <xdr:sp macro="" textlink="">
      <xdr:nvSpPr>
        <xdr:cNvPr id="9187" name="Shape 9187">
          <a:extLst>
            <a:ext uri="{FF2B5EF4-FFF2-40B4-BE49-F238E27FC236}">
              <a16:creationId xmlns:a16="http://schemas.microsoft.com/office/drawing/2014/main" id="{00000000-0008-0000-0000-0000E323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200025</xdr:colOff>
      <xdr:row>10</xdr:row>
      <xdr:rowOff>200025</xdr:rowOff>
    </xdr:from>
    <xdr:ext cx="85725" cy="123825"/>
    <xdr:sp macro="" textlink="">
      <xdr:nvSpPr>
        <xdr:cNvPr id="9188" name="Shape 9188">
          <a:extLst>
            <a:ext uri="{FF2B5EF4-FFF2-40B4-BE49-F238E27FC236}">
              <a16:creationId xmlns:a16="http://schemas.microsoft.com/office/drawing/2014/main" id="{00000000-0008-0000-0000-0000E423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209550</xdr:colOff>
      <xdr:row>12</xdr:row>
      <xdr:rowOff>200025</xdr:rowOff>
    </xdr:from>
    <xdr:ext cx="95250" cy="123825"/>
    <xdr:sp macro="" textlink="">
      <xdr:nvSpPr>
        <xdr:cNvPr id="9189" name="Shape 9189">
          <a:extLst>
            <a:ext uri="{FF2B5EF4-FFF2-40B4-BE49-F238E27FC236}">
              <a16:creationId xmlns:a16="http://schemas.microsoft.com/office/drawing/2014/main" id="{00000000-0008-0000-0000-0000E523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14</xdr:col>
      <xdr:colOff>200025</xdr:colOff>
      <xdr:row>14</xdr:row>
      <xdr:rowOff>228600</xdr:rowOff>
    </xdr:from>
    <xdr:ext cx="95250" cy="123825"/>
    <xdr:sp macro="" textlink="">
      <xdr:nvSpPr>
        <xdr:cNvPr id="9190" name="Shape 9190">
          <a:extLst>
            <a:ext uri="{FF2B5EF4-FFF2-40B4-BE49-F238E27FC236}">
              <a16:creationId xmlns:a16="http://schemas.microsoft.com/office/drawing/2014/main" id="{00000000-0008-0000-0000-0000E623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200025</xdr:colOff>
      <xdr:row>16</xdr:row>
      <xdr:rowOff>228600</xdr:rowOff>
    </xdr:from>
    <xdr:ext cx="85725" cy="123825"/>
    <xdr:sp macro="" textlink="">
      <xdr:nvSpPr>
        <xdr:cNvPr id="9191" name="Shape 9191">
          <a:extLst>
            <a:ext uri="{FF2B5EF4-FFF2-40B4-BE49-F238E27FC236}">
              <a16:creationId xmlns:a16="http://schemas.microsoft.com/office/drawing/2014/main" id="{00000000-0008-0000-0000-0000E723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190500</xdr:colOff>
      <xdr:row>18</xdr:row>
      <xdr:rowOff>209550</xdr:rowOff>
    </xdr:from>
    <xdr:ext cx="95250" cy="114300"/>
    <xdr:sp macro="" textlink="">
      <xdr:nvSpPr>
        <xdr:cNvPr id="9192" name="Shape 9192">
          <a:extLst>
            <a:ext uri="{FF2B5EF4-FFF2-40B4-BE49-F238E27FC236}">
              <a16:creationId xmlns:a16="http://schemas.microsoft.com/office/drawing/2014/main" id="{00000000-0008-0000-0000-0000E823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14</xdr:col>
      <xdr:colOff>190500</xdr:colOff>
      <xdr:row>20</xdr:row>
      <xdr:rowOff>200025</xdr:rowOff>
    </xdr:from>
    <xdr:ext cx="95250" cy="123825"/>
    <xdr:sp macro="" textlink="">
      <xdr:nvSpPr>
        <xdr:cNvPr id="9193" name="Shape 9193">
          <a:extLst>
            <a:ext uri="{FF2B5EF4-FFF2-40B4-BE49-F238E27FC236}">
              <a16:creationId xmlns:a16="http://schemas.microsoft.com/office/drawing/2014/main" id="{00000000-0008-0000-0000-0000E923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209550</xdr:colOff>
      <xdr:row>22</xdr:row>
      <xdr:rowOff>200025</xdr:rowOff>
    </xdr:from>
    <xdr:ext cx="95250" cy="123825"/>
    <xdr:sp macro="" textlink="">
      <xdr:nvSpPr>
        <xdr:cNvPr id="9194" name="Shape 9194">
          <a:extLst>
            <a:ext uri="{FF2B5EF4-FFF2-40B4-BE49-F238E27FC236}">
              <a16:creationId xmlns:a16="http://schemas.microsoft.com/office/drawing/2014/main" id="{00000000-0008-0000-0000-0000EA23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200025</xdr:colOff>
      <xdr:row>24</xdr:row>
      <xdr:rowOff>209550</xdr:rowOff>
    </xdr:from>
    <xdr:ext cx="95250" cy="114300"/>
    <xdr:sp macro="" textlink="">
      <xdr:nvSpPr>
        <xdr:cNvPr id="9195" name="Shape 9195">
          <a:extLst>
            <a:ext uri="{FF2B5EF4-FFF2-40B4-BE49-F238E27FC236}">
              <a16:creationId xmlns:a16="http://schemas.microsoft.com/office/drawing/2014/main" id="{00000000-0008-0000-0000-0000EB23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14</xdr:col>
      <xdr:colOff>200025</xdr:colOff>
      <xdr:row>26</xdr:row>
      <xdr:rowOff>200025</xdr:rowOff>
    </xdr:from>
    <xdr:ext cx="76200" cy="123825"/>
    <xdr:sp macro="" textlink="">
      <xdr:nvSpPr>
        <xdr:cNvPr id="9196" name="Shape 9196">
          <a:extLst>
            <a:ext uri="{FF2B5EF4-FFF2-40B4-BE49-F238E27FC236}">
              <a16:creationId xmlns:a16="http://schemas.microsoft.com/office/drawing/2014/main" id="{00000000-0008-0000-0000-0000EC23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209550</xdr:colOff>
      <xdr:row>28</xdr:row>
      <xdr:rowOff>190500</xdr:rowOff>
    </xdr:from>
    <xdr:ext cx="95250" cy="133350"/>
    <xdr:sp macro="" textlink="">
      <xdr:nvSpPr>
        <xdr:cNvPr id="9197" name="Shape 9197">
          <a:extLst>
            <a:ext uri="{FF2B5EF4-FFF2-40B4-BE49-F238E27FC236}">
              <a16:creationId xmlns:a16="http://schemas.microsoft.com/office/drawing/2014/main" id="{00000000-0008-0000-0000-0000ED23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209550</xdr:colOff>
      <xdr:row>30</xdr:row>
      <xdr:rowOff>209550</xdr:rowOff>
    </xdr:from>
    <xdr:ext cx="95250" cy="114300"/>
    <xdr:sp macro="" textlink="">
      <xdr:nvSpPr>
        <xdr:cNvPr id="9198" name="Shape 9198">
          <a:extLst>
            <a:ext uri="{FF2B5EF4-FFF2-40B4-BE49-F238E27FC236}">
              <a16:creationId xmlns:a16="http://schemas.microsoft.com/office/drawing/2014/main" id="{00000000-0008-0000-0000-0000EE23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14</xdr:col>
      <xdr:colOff>200025</xdr:colOff>
      <xdr:row>32</xdr:row>
      <xdr:rowOff>200025</xdr:rowOff>
    </xdr:from>
    <xdr:ext cx="95250" cy="123825"/>
    <xdr:sp macro="" textlink="">
      <xdr:nvSpPr>
        <xdr:cNvPr id="9199" name="Shape 9199">
          <a:extLst>
            <a:ext uri="{FF2B5EF4-FFF2-40B4-BE49-F238E27FC236}">
              <a16:creationId xmlns:a16="http://schemas.microsoft.com/office/drawing/2014/main" id="{00000000-0008-0000-0000-0000EF23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200025</xdr:colOff>
      <xdr:row>34</xdr:row>
      <xdr:rowOff>200025</xdr:rowOff>
    </xdr:from>
    <xdr:ext cx="104775" cy="123825"/>
    <xdr:sp macro="" textlink="">
      <xdr:nvSpPr>
        <xdr:cNvPr id="9200" name="Shape 9200">
          <a:extLst>
            <a:ext uri="{FF2B5EF4-FFF2-40B4-BE49-F238E27FC236}">
              <a16:creationId xmlns:a16="http://schemas.microsoft.com/office/drawing/2014/main" id="{00000000-0008-0000-0000-0000F023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209550</xdr:colOff>
      <xdr:row>36</xdr:row>
      <xdr:rowOff>190500</xdr:rowOff>
    </xdr:from>
    <xdr:ext cx="95250" cy="133350"/>
    <xdr:sp macro="" textlink="">
      <xdr:nvSpPr>
        <xdr:cNvPr id="9201" name="Shape 9201">
          <a:extLst>
            <a:ext uri="{FF2B5EF4-FFF2-40B4-BE49-F238E27FC236}">
              <a16:creationId xmlns:a16="http://schemas.microsoft.com/office/drawing/2014/main" id="{00000000-0008-0000-0000-0000F123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14</xdr:col>
      <xdr:colOff>200025</xdr:colOff>
      <xdr:row>38</xdr:row>
      <xdr:rowOff>228600</xdr:rowOff>
    </xdr:from>
    <xdr:ext cx="95250" cy="123825"/>
    <xdr:sp macro="" textlink="">
      <xdr:nvSpPr>
        <xdr:cNvPr id="9202" name="Shape 9202">
          <a:extLst>
            <a:ext uri="{FF2B5EF4-FFF2-40B4-BE49-F238E27FC236}">
              <a16:creationId xmlns:a16="http://schemas.microsoft.com/office/drawing/2014/main" id="{00000000-0008-0000-0000-0000F223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209550</xdr:colOff>
      <xdr:row>40</xdr:row>
      <xdr:rowOff>209550</xdr:rowOff>
    </xdr:from>
    <xdr:ext cx="95250" cy="114300"/>
    <xdr:sp macro="" textlink="">
      <xdr:nvSpPr>
        <xdr:cNvPr id="9203" name="Shape 9203">
          <a:extLst>
            <a:ext uri="{FF2B5EF4-FFF2-40B4-BE49-F238E27FC236}">
              <a16:creationId xmlns:a16="http://schemas.microsoft.com/office/drawing/2014/main" id="{00000000-0008-0000-0000-0000F323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219075</xdr:colOff>
      <xdr:row>42</xdr:row>
      <xdr:rowOff>209550</xdr:rowOff>
    </xdr:from>
    <xdr:ext cx="95250" cy="133350"/>
    <xdr:sp macro="" textlink="">
      <xdr:nvSpPr>
        <xdr:cNvPr id="9204" name="Shape 9204">
          <a:extLst>
            <a:ext uri="{FF2B5EF4-FFF2-40B4-BE49-F238E27FC236}">
              <a16:creationId xmlns:a16="http://schemas.microsoft.com/office/drawing/2014/main" id="{00000000-0008-0000-0000-0000F423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18</xdr:col>
      <xdr:colOff>9525</xdr:colOff>
      <xdr:row>10</xdr:row>
      <xdr:rowOff>95250</xdr:rowOff>
    </xdr:from>
    <xdr:ext cx="285750" cy="152400"/>
    <xdr:sp macro="" textlink="">
      <xdr:nvSpPr>
        <xdr:cNvPr id="9205" name="Shape 9205">
          <a:extLst>
            <a:ext uri="{FF2B5EF4-FFF2-40B4-BE49-F238E27FC236}">
              <a16:creationId xmlns:a16="http://schemas.microsoft.com/office/drawing/2014/main" id="{00000000-0008-0000-0000-0000F523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9525</xdr:colOff>
      <xdr:row>12</xdr:row>
      <xdr:rowOff>95250</xdr:rowOff>
    </xdr:from>
    <xdr:ext cx="285750" cy="152400"/>
    <xdr:sp macro="" textlink="">
      <xdr:nvSpPr>
        <xdr:cNvPr id="9206" name="Shape 9206">
          <a:extLst>
            <a:ext uri="{FF2B5EF4-FFF2-40B4-BE49-F238E27FC236}">
              <a16:creationId xmlns:a16="http://schemas.microsoft.com/office/drawing/2014/main" id="{00000000-0008-0000-0000-0000F623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9525</xdr:colOff>
      <xdr:row>10</xdr:row>
      <xdr:rowOff>85725</xdr:rowOff>
    </xdr:from>
    <xdr:ext cx="285750" cy="152400"/>
    <xdr:sp macro="" textlink="">
      <xdr:nvSpPr>
        <xdr:cNvPr id="9207" name="Shape 9207">
          <a:extLst>
            <a:ext uri="{FF2B5EF4-FFF2-40B4-BE49-F238E27FC236}">
              <a16:creationId xmlns:a16="http://schemas.microsoft.com/office/drawing/2014/main" id="{00000000-0008-0000-0000-0000F723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12</xdr:row>
      <xdr:rowOff>95250</xdr:rowOff>
    </xdr:from>
    <xdr:ext cx="285750" cy="171450"/>
    <xdr:sp macro="" textlink="">
      <xdr:nvSpPr>
        <xdr:cNvPr id="9208" name="Shape 9208">
          <a:extLst>
            <a:ext uri="{FF2B5EF4-FFF2-40B4-BE49-F238E27FC236}">
              <a16:creationId xmlns:a16="http://schemas.microsoft.com/office/drawing/2014/main" id="{00000000-0008-0000-0000-0000F823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0</xdr:colOff>
      <xdr:row>14</xdr:row>
      <xdr:rowOff>95250</xdr:rowOff>
    </xdr:from>
    <xdr:ext cx="285750" cy="152400"/>
    <xdr:sp macro="" textlink="">
      <xdr:nvSpPr>
        <xdr:cNvPr id="9209" name="Shape 9209">
          <a:extLst>
            <a:ext uri="{FF2B5EF4-FFF2-40B4-BE49-F238E27FC236}">
              <a16:creationId xmlns:a16="http://schemas.microsoft.com/office/drawing/2014/main" id="{00000000-0008-0000-0000-0000F923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16</xdr:row>
      <xdr:rowOff>95250</xdr:rowOff>
    </xdr:from>
    <xdr:ext cx="276225" cy="152400"/>
    <xdr:sp macro="" textlink="">
      <xdr:nvSpPr>
        <xdr:cNvPr id="9210" name="Shape 9210">
          <a:extLst>
            <a:ext uri="{FF2B5EF4-FFF2-40B4-BE49-F238E27FC236}">
              <a16:creationId xmlns:a16="http://schemas.microsoft.com/office/drawing/2014/main" id="{00000000-0008-0000-0000-0000FA23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4490" y="31"/>
            </a:cxn>
            <a:cxn ang="0">
              <a:pos x="24578" y="4169"/>
            </a:cxn>
            <a:cxn ang="0">
              <a:pos x="53530" y="210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9525</xdr:colOff>
      <xdr:row>18</xdr:row>
      <xdr:rowOff>85725</xdr:rowOff>
    </xdr:from>
    <xdr:ext cx="285750" cy="171450"/>
    <xdr:sp macro="" textlink="">
      <xdr:nvSpPr>
        <xdr:cNvPr id="9211" name="Shape 9211">
          <a:extLst>
            <a:ext uri="{FF2B5EF4-FFF2-40B4-BE49-F238E27FC236}">
              <a16:creationId xmlns:a16="http://schemas.microsoft.com/office/drawing/2014/main" id="{00000000-0008-0000-0000-0000FB23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9525</xdr:colOff>
      <xdr:row>44</xdr:row>
      <xdr:rowOff>95250</xdr:rowOff>
    </xdr:from>
    <xdr:ext cx="247650" cy="114300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0000-000018280000}"/>
            </a:ext>
          </a:extLst>
        </xdr:cNvPr>
        <xdr:cNvSpPr/>
      </xdr:nvSpPr>
      <xdr:spPr>
        <a:xfrm>
          <a:off x="0" y="0"/>
          <a:ext cx="1" cy="1"/>
        </a:xfrm>
        <a:prstGeom prst="rect">
          <a:avLst/>
        </a:prstGeom>
        <a:solidFill>
          <a:sysClr val="grayText" lastClr="6D6D6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</xdr:sp>
    <xdr:clientData fLocksWithSheet="0"/>
  </xdr:oneCellAnchor>
  <xdr:oneCellAnchor>
    <xdr:from>
      <xdr:col>18</xdr:col>
      <xdr:colOff>9525</xdr:colOff>
      <xdr:row>18</xdr:row>
      <xdr:rowOff>95250</xdr:rowOff>
    </xdr:from>
    <xdr:ext cx="276225" cy="152400"/>
    <xdr:sp macro="" textlink="">
      <xdr:nvSpPr>
        <xdr:cNvPr id="9212" name="Shape 9212">
          <a:extLst>
            <a:ext uri="{FF2B5EF4-FFF2-40B4-BE49-F238E27FC236}">
              <a16:creationId xmlns:a16="http://schemas.microsoft.com/office/drawing/2014/main" id="{00000000-0008-0000-0000-0000FC23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4490" y="31"/>
            </a:cxn>
            <a:cxn ang="0">
              <a:pos x="24578" y="4169"/>
            </a:cxn>
            <a:cxn ang="0">
              <a:pos x="53530" y="210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9525</xdr:colOff>
      <xdr:row>16</xdr:row>
      <xdr:rowOff>114300</xdr:rowOff>
    </xdr:from>
    <xdr:ext cx="285750" cy="161925"/>
    <xdr:sp macro="" textlink="">
      <xdr:nvSpPr>
        <xdr:cNvPr id="9213" name="Shape 9213">
          <a:extLst>
            <a:ext uri="{FF2B5EF4-FFF2-40B4-BE49-F238E27FC236}">
              <a16:creationId xmlns:a16="http://schemas.microsoft.com/office/drawing/2014/main" id="{00000000-0008-0000-0000-0000FD23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14</xdr:row>
      <xdr:rowOff>95250</xdr:rowOff>
    </xdr:from>
    <xdr:ext cx="285750" cy="152400"/>
    <xdr:sp macro="" textlink="">
      <xdr:nvSpPr>
        <xdr:cNvPr id="9214" name="Shape 9214">
          <a:extLst>
            <a:ext uri="{FF2B5EF4-FFF2-40B4-BE49-F238E27FC236}">
              <a16:creationId xmlns:a16="http://schemas.microsoft.com/office/drawing/2014/main" id="{00000000-0008-0000-0000-0000FE23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20</xdr:row>
      <xdr:rowOff>85725</xdr:rowOff>
    </xdr:from>
    <xdr:ext cx="276225" cy="171450"/>
    <xdr:sp macro="" textlink="">
      <xdr:nvSpPr>
        <xdr:cNvPr id="9215" name="Shape 9215">
          <a:extLst>
            <a:ext uri="{FF2B5EF4-FFF2-40B4-BE49-F238E27FC236}">
              <a16:creationId xmlns:a16="http://schemas.microsoft.com/office/drawing/2014/main" id="{00000000-0008-0000-0000-0000FF23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4490" y="31"/>
            </a:cxn>
            <a:cxn ang="0">
              <a:pos x="24578" y="4169"/>
            </a:cxn>
            <a:cxn ang="0">
              <a:pos x="53530" y="210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9525</xdr:colOff>
      <xdr:row>22</xdr:row>
      <xdr:rowOff>76200</xdr:rowOff>
    </xdr:from>
    <xdr:ext cx="285750" cy="152400"/>
    <xdr:sp macro="" textlink="">
      <xdr:nvSpPr>
        <xdr:cNvPr id="10240" name="Shape 10240">
          <a:extLst>
            <a:ext uri="{FF2B5EF4-FFF2-40B4-BE49-F238E27FC236}">
              <a16:creationId xmlns:a16="http://schemas.microsoft.com/office/drawing/2014/main" id="{00000000-0008-0000-0000-000000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9525</xdr:colOff>
      <xdr:row>20</xdr:row>
      <xdr:rowOff>95250</xdr:rowOff>
    </xdr:from>
    <xdr:ext cx="285750" cy="152400"/>
    <xdr:sp macro="" textlink="">
      <xdr:nvSpPr>
        <xdr:cNvPr id="10241" name="Shape 10241">
          <a:extLst>
            <a:ext uri="{FF2B5EF4-FFF2-40B4-BE49-F238E27FC236}">
              <a16:creationId xmlns:a16="http://schemas.microsoft.com/office/drawing/2014/main" id="{00000000-0008-0000-0000-000001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22</xdr:row>
      <xdr:rowOff>95250</xdr:rowOff>
    </xdr:from>
    <xdr:ext cx="285750" cy="171450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0000-000002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28575</xdr:colOff>
      <xdr:row>24</xdr:row>
      <xdr:rowOff>95250</xdr:rowOff>
    </xdr:from>
    <xdr:ext cx="285750" cy="152400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0000-000003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4490" y="31"/>
            </a:cxn>
            <a:cxn ang="0">
              <a:pos x="24578" y="4169"/>
            </a:cxn>
            <a:cxn ang="0">
              <a:pos x="53530" y="210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9525</xdr:colOff>
      <xdr:row>26</xdr:row>
      <xdr:rowOff>85725</xdr:rowOff>
    </xdr:from>
    <xdr:ext cx="285750" cy="152400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0000-000004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9525</xdr:colOff>
      <xdr:row>24</xdr:row>
      <xdr:rowOff>114300</xdr:rowOff>
    </xdr:from>
    <xdr:ext cx="285750" cy="152400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0000-000005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9525</xdr:colOff>
      <xdr:row>26</xdr:row>
      <xdr:rowOff>76200</xdr:rowOff>
    </xdr:from>
    <xdr:ext cx="276225" cy="171450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0000-000006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4490" y="31"/>
            </a:cxn>
            <a:cxn ang="0">
              <a:pos x="24578" y="4169"/>
            </a:cxn>
            <a:cxn ang="0">
              <a:pos x="53530" y="210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9525</xdr:colOff>
      <xdr:row>28</xdr:row>
      <xdr:rowOff>95250</xdr:rowOff>
    </xdr:from>
    <xdr:ext cx="285750" cy="152400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0000-000007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9525</xdr:colOff>
      <xdr:row>30</xdr:row>
      <xdr:rowOff>95250</xdr:rowOff>
    </xdr:from>
    <xdr:ext cx="285750" cy="152400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0000-000008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9525</xdr:colOff>
      <xdr:row>32</xdr:row>
      <xdr:rowOff>76200</xdr:rowOff>
    </xdr:from>
    <xdr:ext cx="285750" cy="152400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0000-000009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9525</xdr:colOff>
      <xdr:row>34</xdr:row>
      <xdr:rowOff>85725</xdr:rowOff>
    </xdr:from>
    <xdr:ext cx="285750" cy="171450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0000-00000A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17</xdr:col>
      <xdr:colOff>247650</xdr:colOff>
      <xdr:row>36</xdr:row>
      <xdr:rowOff>95250</xdr:rowOff>
    </xdr:from>
    <xdr:ext cx="285750" cy="152400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0000-00000B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28</xdr:row>
      <xdr:rowOff>85725</xdr:rowOff>
    </xdr:from>
    <xdr:ext cx="285750" cy="152400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0000-00000C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30</xdr:row>
      <xdr:rowOff>76200</xdr:rowOff>
    </xdr:from>
    <xdr:ext cx="285750" cy="171450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0000-00000D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32</xdr:row>
      <xdr:rowOff>85725</xdr:rowOff>
    </xdr:from>
    <xdr:ext cx="295275" cy="152400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0000-00000E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34</xdr:row>
      <xdr:rowOff>76200</xdr:rowOff>
    </xdr:from>
    <xdr:ext cx="285750" cy="171450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0000-00000F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12</xdr:col>
      <xdr:colOff>209550</xdr:colOff>
      <xdr:row>36</xdr:row>
      <xdr:rowOff>76200</xdr:rowOff>
    </xdr:from>
    <xdr:ext cx="285750" cy="171450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0000-000010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9525</xdr:colOff>
      <xdr:row>38</xdr:row>
      <xdr:rowOff>85725</xdr:rowOff>
    </xdr:from>
    <xdr:ext cx="285750" cy="152400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0000-000011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40</xdr:row>
      <xdr:rowOff>76200</xdr:rowOff>
    </xdr:from>
    <xdr:ext cx="285750" cy="152400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0000-000012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42</xdr:row>
      <xdr:rowOff>85725</xdr:rowOff>
    </xdr:from>
    <xdr:ext cx="295275" cy="171450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0000-000013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9525</xdr:colOff>
      <xdr:row>42</xdr:row>
      <xdr:rowOff>76200</xdr:rowOff>
    </xdr:from>
    <xdr:ext cx="285750" cy="171450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0000-000014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9525</xdr:colOff>
      <xdr:row>38</xdr:row>
      <xdr:rowOff>85725</xdr:rowOff>
    </xdr:from>
    <xdr:ext cx="285750" cy="152400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0000-000015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3302" y="36"/>
            </a:cxn>
            <a:cxn ang="0">
              <a:pos x="51073" y="4848"/>
            </a:cxn>
            <a:cxn ang="0">
              <a:pos x="18761" y="245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9525</xdr:colOff>
      <xdr:row>40</xdr:row>
      <xdr:rowOff>85725</xdr:rowOff>
    </xdr:from>
    <xdr:ext cx="276225" cy="152400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0000-00001628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4490" y="31"/>
            </a:cxn>
            <a:cxn ang="0">
              <a:pos x="24578" y="4169"/>
            </a:cxn>
            <a:cxn ang="0">
              <a:pos x="53530" y="210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28575</xdr:colOff>
      <xdr:row>44</xdr:row>
      <xdr:rowOff>114300</xdr:rowOff>
    </xdr:from>
    <xdr:ext cx="247650" cy="114300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0000-000017280000}"/>
            </a:ext>
          </a:extLst>
        </xdr:cNvPr>
        <xdr:cNvSpPr/>
      </xdr:nvSpPr>
      <xdr:spPr>
        <a:xfrm>
          <a:off x="0" y="0"/>
          <a:ext cx="1" cy="1"/>
        </a:xfrm>
        <a:prstGeom prst="rect">
          <a:avLst/>
        </a:prstGeom>
        <a:solidFill>
          <a:sysClr val="background" lastClr="000000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9525</xdr:colOff>
      <xdr:row>8</xdr:row>
      <xdr:rowOff>95250</xdr:rowOff>
    </xdr:from>
    <xdr:ext cx="266700" cy="152400"/>
    <xdr:sp macro="" textlink="">
      <xdr:nvSpPr>
        <xdr:cNvPr id="2649" name="Shape 2649">
          <a:extLst>
            <a:ext uri="{FF2B5EF4-FFF2-40B4-BE49-F238E27FC236}">
              <a16:creationId xmlns:a16="http://schemas.microsoft.com/office/drawing/2014/main" id="{00000000-0008-0000-0100-0000590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911" y="25"/>
            </a:cxn>
            <a:cxn ang="0">
              <a:pos x="36159" y="3317"/>
            </a:cxn>
            <a:cxn ang="0">
              <a:pos x="12251" y="167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14</xdr:col>
      <xdr:colOff>238125</xdr:colOff>
      <xdr:row>8</xdr:row>
      <xdr:rowOff>209550</xdr:rowOff>
    </xdr:from>
    <xdr:ext cx="85725" cy="114300"/>
    <xdr:sp macro="" textlink="">
      <xdr:nvSpPr>
        <xdr:cNvPr id="2650" name="Shape 2650">
          <a:extLst>
            <a:ext uri="{FF2B5EF4-FFF2-40B4-BE49-F238E27FC236}">
              <a16:creationId xmlns:a16="http://schemas.microsoft.com/office/drawing/2014/main" id="{00000000-0008-0000-0100-00005A0A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13</xdr:col>
      <xdr:colOff>47625</xdr:colOff>
      <xdr:row>20</xdr:row>
      <xdr:rowOff>76200</xdr:rowOff>
    </xdr:from>
    <xdr:ext cx="247650" cy="114300"/>
    <xdr:sp macro="" textlink="">
      <xdr:nvSpPr>
        <xdr:cNvPr id="2651" name="Shape 2651">
          <a:extLst>
            <a:ext uri="{FF2B5EF4-FFF2-40B4-BE49-F238E27FC236}">
              <a16:creationId xmlns:a16="http://schemas.microsoft.com/office/drawing/2014/main" id="{00000000-0008-0000-0100-00005B0A0000}"/>
            </a:ext>
          </a:extLst>
        </xdr:cNvPr>
        <xdr:cNvSpPr/>
      </xdr:nvSpPr>
      <xdr:spPr>
        <a:xfrm>
          <a:off x="0" y="0"/>
          <a:ext cx="1" cy="1"/>
        </a:xfrm>
        <a:prstGeom prst="rect">
          <a:avLst/>
        </a:prstGeom>
        <a:solidFill>
          <a:sysClr val="background" lastClr="000000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</xdr:sp>
    <xdr:clientData fLocksWithSheet="0"/>
  </xdr:oneCellAnchor>
  <xdr:oneCellAnchor>
    <xdr:from>
      <xdr:col>18</xdr:col>
      <xdr:colOff>38100</xdr:colOff>
      <xdr:row>20</xdr:row>
      <xdr:rowOff>76200</xdr:rowOff>
    </xdr:from>
    <xdr:ext cx="257175" cy="114300"/>
    <xdr:sp macro="" textlink="">
      <xdr:nvSpPr>
        <xdr:cNvPr id="2652" name="Shape 2652">
          <a:extLst>
            <a:ext uri="{FF2B5EF4-FFF2-40B4-BE49-F238E27FC236}">
              <a16:creationId xmlns:a16="http://schemas.microsoft.com/office/drawing/2014/main" id="{00000000-0008-0000-0100-00005C0A0000}"/>
            </a:ext>
          </a:extLst>
        </xdr:cNvPr>
        <xdr:cNvSpPr/>
      </xdr:nvSpPr>
      <xdr:spPr>
        <a:xfrm>
          <a:off x="0" y="0"/>
          <a:ext cx="1" cy="1"/>
        </a:xfrm>
        <a:prstGeom prst="rect">
          <a:avLst/>
        </a:prstGeom>
        <a:solidFill>
          <a:sysClr val="grayText" lastClr="6D6D6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</xdr:sp>
    <xdr:clientData fLocksWithSheet="0"/>
  </xdr:oneCellAnchor>
  <xdr:oneCellAnchor>
    <xdr:from>
      <xdr:col>18</xdr:col>
      <xdr:colOff>9525</xdr:colOff>
      <xdr:row>8</xdr:row>
      <xdr:rowOff>95250</xdr:rowOff>
    </xdr:from>
    <xdr:ext cx="266700" cy="152400"/>
    <xdr:sp macro="" textlink="">
      <xdr:nvSpPr>
        <xdr:cNvPr id="2653" name="Shape 2653">
          <a:extLst>
            <a:ext uri="{FF2B5EF4-FFF2-40B4-BE49-F238E27FC236}">
              <a16:creationId xmlns:a16="http://schemas.microsoft.com/office/drawing/2014/main" id="{00000000-0008-0000-0100-00005D0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911" y="25"/>
            </a:cxn>
            <a:cxn ang="0">
              <a:pos x="36159" y="3317"/>
            </a:cxn>
            <a:cxn ang="0">
              <a:pos x="12251" y="167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10</xdr:row>
      <xdr:rowOff>85725</xdr:rowOff>
    </xdr:from>
    <xdr:ext cx="266700" cy="171450"/>
    <xdr:sp macro="" textlink="">
      <xdr:nvSpPr>
        <xdr:cNvPr id="2654" name="Shape 2654">
          <a:extLst>
            <a:ext uri="{FF2B5EF4-FFF2-40B4-BE49-F238E27FC236}">
              <a16:creationId xmlns:a16="http://schemas.microsoft.com/office/drawing/2014/main" id="{00000000-0008-0000-0100-00005E0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911" y="25"/>
            </a:cxn>
            <a:cxn ang="0">
              <a:pos x="36159" y="3317"/>
            </a:cxn>
            <a:cxn ang="0">
              <a:pos x="12251" y="167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9525</xdr:colOff>
      <xdr:row>12</xdr:row>
      <xdr:rowOff>76200</xdr:rowOff>
    </xdr:from>
    <xdr:ext cx="266700" cy="180975"/>
    <xdr:sp macro="" textlink="">
      <xdr:nvSpPr>
        <xdr:cNvPr id="2655" name="Shape 2655">
          <a:extLst>
            <a:ext uri="{FF2B5EF4-FFF2-40B4-BE49-F238E27FC236}">
              <a16:creationId xmlns:a16="http://schemas.microsoft.com/office/drawing/2014/main" id="{00000000-0008-0000-0100-00005F0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911" y="25"/>
            </a:cxn>
            <a:cxn ang="0">
              <a:pos x="36159" y="3317"/>
            </a:cxn>
            <a:cxn ang="0">
              <a:pos x="12251" y="167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10</xdr:row>
      <xdr:rowOff>76200</xdr:rowOff>
    </xdr:from>
    <xdr:ext cx="266700" cy="152400"/>
    <xdr:sp macro="" textlink="">
      <xdr:nvSpPr>
        <xdr:cNvPr id="2656" name="Shape 2656">
          <a:extLst>
            <a:ext uri="{FF2B5EF4-FFF2-40B4-BE49-F238E27FC236}">
              <a16:creationId xmlns:a16="http://schemas.microsoft.com/office/drawing/2014/main" id="{00000000-0008-0000-0100-0000600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911" y="25"/>
            </a:cxn>
            <a:cxn ang="0">
              <a:pos x="36159" y="3317"/>
            </a:cxn>
            <a:cxn ang="0">
              <a:pos x="12251" y="167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12</xdr:row>
      <xdr:rowOff>85725</xdr:rowOff>
    </xdr:from>
    <xdr:ext cx="266700" cy="171450"/>
    <xdr:sp macro="" textlink="">
      <xdr:nvSpPr>
        <xdr:cNvPr id="2657" name="Shape 2657">
          <a:extLst>
            <a:ext uri="{FF2B5EF4-FFF2-40B4-BE49-F238E27FC236}">
              <a16:creationId xmlns:a16="http://schemas.microsoft.com/office/drawing/2014/main" id="{00000000-0008-0000-0100-0000610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911" y="25"/>
            </a:cxn>
            <a:cxn ang="0">
              <a:pos x="36159" y="3317"/>
            </a:cxn>
            <a:cxn ang="0">
              <a:pos x="12251" y="167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18</xdr:row>
      <xdr:rowOff>85725</xdr:rowOff>
    </xdr:from>
    <xdr:ext cx="266700" cy="171450"/>
    <xdr:sp macro="" textlink="">
      <xdr:nvSpPr>
        <xdr:cNvPr id="2658" name="Shape 2658">
          <a:extLst>
            <a:ext uri="{FF2B5EF4-FFF2-40B4-BE49-F238E27FC236}">
              <a16:creationId xmlns:a16="http://schemas.microsoft.com/office/drawing/2014/main" id="{00000000-0008-0000-0100-0000620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911" y="25"/>
            </a:cxn>
            <a:cxn ang="0">
              <a:pos x="36159" y="3317"/>
            </a:cxn>
            <a:cxn ang="0">
              <a:pos x="12251" y="167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14</xdr:col>
      <xdr:colOff>238125</xdr:colOff>
      <xdr:row>14</xdr:row>
      <xdr:rowOff>200025</xdr:rowOff>
    </xdr:from>
    <xdr:ext cx="85725" cy="123825"/>
    <xdr:sp macro="" textlink="">
      <xdr:nvSpPr>
        <xdr:cNvPr id="2668" name="Shape 2668">
          <a:extLst>
            <a:ext uri="{FF2B5EF4-FFF2-40B4-BE49-F238E27FC236}">
              <a16:creationId xmlns:a16="http://schemas.microsoft.com/office/drawing/2014/main" id="{00000000-0008-0000-0100-00006C0A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13</xdr:col>
      <xdr:colOff>9525</xdr:colOff>
      <xdr:row>18</xdr:row>
      <xdr:rowOff>95250</xdr:rowOff>
    </xdr:from>
    <xdr:ext cx="266700" cy="171450"/>
    <xdr:sp macro="" textlink="">
      <xdr:nvSpPr>
        <xdr:cNvPr id="2659" name="Shape 2659">
          <a:extLst>
            <a:ext uri="{FF2B5EF4-FFF2-40B4-BE49-F238E27FC236}">
              <a16:creationId xmlns:a16="http://schemas.microsoft.com/office/drawing/2014/main" id="{00000000-0008-0000-0100-0000630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911" y="25"/>
            </a:cxn>
            <a:cxn ang="0">
              <a:pos x="36159" y="3317"/>
            </a:cxn>
            <a:cxn ang="0">
              <a:pos x="12251" y="167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16</xdr:row>
      <xdr:rowOff>85725</xdr:rowOff>
    </xdr:from>
    <xdr:ext cx="266700" cy="171450"/>
    <xdr:sp macro="" textlink="">
      <xdr:nvSpPr>
        <xdr:cNvPr id="2660" name="Shape 2660">
          <a:extLst>
            <a:ext uri="{FF2B5EF4-FFF2-40B4-BE49-F238E27FC236}">
              <a16:creationId xmlns:a16="http://schemas.microsoft.com/office/drawing/2014/main" id="{00000000-0008-0000-0100-0000640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911" y="25"/>
            </a:cxn>
            <a:cxn ang="0">
              <a:pos x="36159" y="3317"/>
            </a:cxn>
            <a:cxn ang="0">
              <a:pos x="12251" y="167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14</xdr:row>
      <xdr:rowOff>85725</xdr:rowOff>
    </xdr:from>
    <xdr:ext cx="266700" cy="171450"/>
    <xdr:sp macro="" textlink="">
      <xdr:nvSpPr>
        <xdr:cNvPr id="2661" name="Shape 2661">
          <a:extLst>
            <a:ext uri="{FF2B5EF4-FFF2-40B4-BE49-F238E27FC236}">
              <a16:creationId xmlns:a16="http://schemas.microsoft.com/office/drawing/2014/main" id="{00000000-0008-0000-0100-0000650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911" y="25"/>
            </a:cxn>
            <a:cxn ang="0">
              <a:pos x="36159" y="3317"/>
            </a:cxn>
            <a:cxn ang="0">
              <a:pos x="12251" y="167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14</xdr:row>
      <xdr:rowOff>85725</xdr:rowOff>
    </xdr:from>
    <xdr:ext cx="266700" cy="152400"/>
    <xdr:sp macro="" textlink="">
      <xdr:nvSpPr>
        <xdr:cNvPr id="2662" name="Shape 2662">
          <a:extLst>
            <a:ext uri="{FF2B5EF4-FFF2-40B4-BE49-F238E27FC236}">
              <a16:creationId xmlns:a16="http://schemas.microsoft.com/office/drawing/2014/main" id="{00000000-0008-0000-0100-0000660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911" y="25"/>
            </a:cxn>
            <a:cxn ang="0">
              <a:pos x="36159" y="3317"/>
            </a:cxn>
            <a:cxn ang="0">
              <a:pos x="12251" y="167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16</xdr:row>
      <xdr:rowOff>95250</xdr:rowOff>
    </xdr:from>
    <xdr:ext cx="266700" cy="180975"/>
    <xdr:sp macro="" textlink="">
      <xdr:nvSpPr>
        <xdr:cNvPr id="2663" name="Shape 2663">
          <a:extLst>
            <a:ext uri="{FF2B5EF4-FFF2-40B4-BE49-F238E27FC236}">
              <a16:creationId xmlns:a16="http://schemas.microsoft.com/office/drawing/2014/main" id="{00000000-0008-0000-0100-0000670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911" y="25"/>
            </a:cxn>
            <a:cxn ang="0">
              <a:pos x="36159" y="3317"/>
            </a:cxn>
            <a:cxn ang="0">
              <a:pos x="12251" y="167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15</xdr:col>
      <xdr:colOff>228600</xdr:colOff>
      <xdr:row>10</xdr:row>
      <xdr:rowOff>200025</xdr:rowOff>
    </xdr:from>
    <xdr:ext cx="95250" cy="123825"/>
    <xdr:sp macro="" textlink="">
      <xdr:nvSpPr>
        <xdr:cNvPr id="2664" name="Shape 2664">
          <a:extLst>
            <a:ext uri="{FF2B5EF4-FFF2-40B4-BE49-F238E27FC236}">
              <a16:creationId xmlns:a16="http://schemas.microsoft.com/office/drawing/2014/main" id="{00000000-0008-0000-0100-0000680A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238125</xdr:colOff>
      <xdr:row>12</xdr:row>
      <xdr:rowOff>209550</xdr:rowOff>
    </xdr:from>
    <xdr:ext cx="95250" cy="114300"/>
    <xdr:sp macro="" textlink="">
      <xdr:nvSpPr>
        <xdr:cNvPr id="2665" name="Shape 2665">
          <a:extLst>
            <a:ext uri="{FF2B5EF4-FFF2-40B4-BE49-F238E27FC236}">
              <a16:creationId xmlns:a16="http://schemas.microsoft.com/office/drawing/2014/main" id="{00000000-0008-0000-0100-0000690A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247650</xdr:colOff>
      <xdr:row>18</xdr:row>
      <xdr:rowOff>209550</xdr:rowOff>
    </xdr:from>
    <xdr:ext cx="85725" cy="104775"/>
    <xdr:sp macro="" textlink="">
      <xdr:nvSpPr>
        <xdr:cNvPr id="2666" name="Shape 2666">
          <a:extLst>
            <a:ext uri="{FF2B5EF4-FFF2-40B4-BE49-F238E27FC236}">
              <a16:creationId xmlns:a16="http://schemas.microsoft.com/office/drawing/2014/main" id="{00000000-0008-0000-0100-00006A0A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238125</xdr:colOff>
      <xdr:row>16</xdr:row>
      <xdr:rowOff>209550</xdr:rowOff>
    </xdr:from>
    <xdr:ext cx="95250" cy="114300"/>
    <xdr:sp macro="" textlink="">
      <xdr:nvSpPr>
        <xdr:cNvPr id="2667" name="Shape 2667">
          <a:extLst>
            <a:ext uri="{FF2B5EF4-FFF2-40B4-BE49-F238E27FC236}">
              <a16:creationId xmlns:a16="http://schemas.microsoft.com/office/drawing/2014/main" id="{00000000-0008-0000-0100-00006B0A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16</xdr:row>
      <xdr:rowOff>95250</xdr:rowOff>
    </xdr:from>
    <xdr:ext cx="247650" cy="114300"/>
    <xdr:sp macro="" textlink="">
      <xdr:nvSpPr>
        <xdr:cNvPr id="3493" name="Shape 3493">
          <a:extLst>
            <a:ext uri="{FF2B5EF4-FFF2-40B4-BE49-F238E27FC236}">
              <a16:creationId xmlns:a16="http://schemas.microsoft.com/office/drawing/2014/main" id="{00000000-0008-0000-0200-0000A50D0000}"/>
            </a:ext>
          </a:extLst>
        </xdr:cNvPr>
        <xdr:cNvSpPr/>
      </xdr:nvSpPr>
      <xdr:spPr>
        <a:xfrm>
          <a:off x="0" y="0"/>
          <a:ext cx="1" cy="1"/>
        </a:xfrm>
        <a:prstGeom prst="rect">
          <a:avLst/>
        </a:prstGeom>
        <a:solidFill>
          <a:sysClr val="background" lastClr="000000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</xdr:sp>
    <xdr:clientData fLocksWithSheet="0"/>
  </xdr:oneCellAnchor>
  <xdr:oneCellAnchor>
    <xdr:from>
      <xdr:col>18</xdr:col>
      <xdr:colOff>76200</xdr:colOff>
      <xdr:row>16</xdr:row>
      <xdr:rowOff>95250</xdr:rowOff>
    </xdr:from>
    <xdr:ext cx="257175" cy="114300"/>
    <xdr:sp macro="" textlink="">
      <xdr:nvSpPr>
        <xdr:cNvPr id="3494" name="Shape 3494">
          <a:extLst>
            <a:ext uri="{FF2B5EF4-FFF2-40B4-BE49-F238E27FC236}">
              <a16:creationId xmlns:a16="http://schemas.microsoft.com/office/drawing/2014/main" id="{00000000-0008-0000-0200-0000A60D0000}"/>
            </a:ext>
          </a:extLst>
        </xdr:cNvPr>
        <xdr:cNvSpPr/>
      </xdr:nvSpPr>
      <xdr:spPr>
        <a:xfrm>
          <a:off x="0" y="0"/>
          <a:ext cx="1" cy="1"/>
        </a:xfrm>
        <a:prstGeom prst="rect">
          <a:avLst/>
        </a:prstGeom>
        <a:solidFill>
          <a:sysClr val="grayText" lastClr="6D6D6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</xdr:sp>
    <xdr:clientData fLocksWithSheet="0"/>
  </xdr:oneCellAnchor>
  <xdr:oneCellAnchor>
    <xdr:from>
      <xdr:col>13</xdr:col>
      <xdr:colOff>28575</xdr:colOff>
      <xdr:row>8</xdr:row>
      <xdr:rowOff>95250</xdr:rowOff>
    </xdr:from>
    <xdr:ext cx="257175" cy="171450"/>
    <xdr:sp macro="" textlink="">
      <xdr:nvSpPr>
        <xdr:cNvPr id="3495" name="Shape 3495">
          <a:extLst>
            <a:ext uri="{FF2B5EF4-FFF2-40B4-BE49-F238E27FC236}">
              <a16:creationId xmlns:a16="http://schemas.microsoft.com/office/drawing/2014/main" id="{00000000-0008-0000-0200-0000A70D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29246" y="20"/>
            </a:cxn>
            <a:cxn ang="0">
              <a:pos x="3213" y="2705"/>
            </a:cxn>
            <a:cxn ang="0">
              <a:pos x="34674" y="136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14</xdr:col>
      <xdr:colOff>266700</xdr:colOff>
      <xdr:row>8</xdr:row>
      <xdr:rowOff>190500</xdr:rowOff>
    </xdr:from>
    <xdr:ext cx="114300" cy="133350"/>
    <xdr:sp macro="" textlink="">
      <xdr:nvSpPr>
        <xdr:cNvPr id="3496" name="Shape 3496">
          <a:extLst>
            <a:ext uri="{FF2B5EF4-FFF2-40B4-BE49-F238E27FC236}">
              <a16:creationId xmlns:a16="http://schemas.microsoft.com/office/drawing/2014/main" id="{00000000-0008-0000-0200-0000A80D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314325</xdr:colOff>
      <xdr:row>10</xdr:row>
      <xdr:rowOff>190500</xdr:rowOff>
    </xdr:from>
    <xdr:ext cx="114300" cy="133350"/>
    <xdr:sp macro="" textlink="">
      <xdr:nvSpPr>
        <xdr:cNvPr id="3497" name="Shape 3497">
          <a:extLst>
            <a:ext uri="{FF2B5EF4-FFF2-40B4-BE49-F238E27FC236}">
              <a16:creationId xmlns:a16="http://schemas.microsoft.com/office/drawing/2014/main" id="{00000000-0008-0000-0200-0000A90D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295275</xdr:colOff>
      <xdr:row>12</xdr:row>
      <xdr:rowOff>190500</xdr:rowOff>
    </xdr:from>
    <xdr:ext cx="114300" cy="133350"/>
    <xdr:sp macro="" textlink="">
      <xdr:nvSpPr>
        <xdr:cNvPr id="3498" name="Shape 3498">
          <a:extLst>
            <a:ext uri="{FF2B5EF4-FFF2-40B4-BE49-F238E27FC236}">
              <a16:creationId xmlns:a16="http://schemas.microsoft.com/office/drawing/2014/main" id="{00000000-0008-0000-0200-0000AA0D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14</xdr:col>
      <xdr:colOff>285750</xdr:colOff>
      <xdr:row>14</xdr:row>
      <xdr:rowOff>200025</xdr:rowOff>
    </xdr:from>
    <xdr:ext cx="114300" cy="142875"/>
    <xdr:sp macro="" textlink="">
      <xdr:nvSpPr>
        <xdr:cNvPr id="3499" name="Shape 3499">
          <a:extLst>
            <a:ext uri="{FF2B5EF4-FFF2-40B4-BE49-F238E27FC236}">
              <a16:creationId xmlns:a16="http://schemas.microsoft.com/office/drawing/2014/main" id="{00000000-0008-0000-0200-0000AB0D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13</xdr:col>
      <xdr:colOff>38100</xdr:colOff>
      <xdr:row>10</xdr:row>
      <xdr:rowOff>76200</xdr:rowOff>
    </xdr:from>
    <xdr:ext cx="257175" cy="171450"/>
    <xdr:sp macro="" textlink="">
      <xdr:nvSpPr>
        <xdr:cNvPr id="3500" name="Shape 3500">
          <a:extLst>
            <a:ext uri="{FF2B5EF4-FFF2-40B4-BE49-F238E27FC236}">
              <a16:creationId xmlns:a16="http://schemas.microsoft.com/office/drawing/2014/main" id="{00000000-0008-0000-0200-0000AC0D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29246" y="20"/>
            </a:cxn>
            <a:cxn ang="0">
              <a:pos x="3213" y="2705"/>
            </a:cxn>
            <a:cxn ang="0">
              <a:pos x="34674" y="136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38100</xdr:colOff>
      <xdr:row>12</xdr:row>
      <xdr:rowOff>76200</xdr:rowOff>
    </xdr:from>
    <xdr:ext cx="257175" cy="171450"/>
    <xdr:sp macro="" textlink="">
      <xdr:nvSpPr>
        <xdr:cNvPr id="3501" name="Shape 3501">
          <a:extLst>
            <a:ext uri="{FF2B5EF4-FFF2-40B4-BE49-F238E27FC236}">
              <a16:creationId xmlns:a16="http://schemas.microsoft.com/office/drawing/2014/main" id="{00000000-0008-0000-0200-0000AD0D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29246" y="20"/>
            </a:cxn>
            <a:cxn ang="0">
              <a:pos x="3213" y="2705"/>
            </a:cxn>
            <a:cxn ang="0">
              <a:pos x="34674" y="136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28575</xdr:colOff>
      <xdr:row>14</xdr:row>
      <xdr:rowOff>85725</xdr:rowOff>
    </xdr:from>
    <xdr:ext cx="257175" cy="171450"/>
    <xdr:sp macro="" textlink="">
      <xdr:nvSpPr>
        <xdr:cNvPr id="3502" name="Shape 3502">
          <a:extLst>
            <a:ext uri="{FF2B5EF4-FFF2-40B4-BE49-F238E27FC236}">
              <a16:creationId xmlns:a16="http://schemas.microsoft.com/office/drawing/2014/main" id="{00000000-0008-0000-0200-0000AE0D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29246" y="20"/>
            </a:cxn>
            <a:cxn ang="0">
              <a:pos x="3213" y="2705"/>
            </a:cxn>
            <a:cxn ang="0">
              <a:pos x="34674" y="136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38100</xdr:colOff>
      <xdr:row>14</xdr:row>
      <xdr:rowOff>85725</xdr:rowOff>
    </xdr:from>
    <xdr:ext cx="257175" cy="171450"/>
    <xdr:sp macro="" textlink="">
      <xdr:nvSpPr>
        <xdr:cNvPr id="3503" name="Shape 3503">
          <a:extLst>
            <a:ext uri="{FF2B5EF4-FFF2-40B4-BE49-F238E27FC236}">
              <a16:creationId xmlns:a16="http://schemas.microsoft.com/office/drawing/2014/main" id="{00000000-0008-0000-0200-0000AF0D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29246" y="20"/>
            </a:cxn>
            <a:cxn ang="0">
              <a:pos x="3213" y="2705"/>
            </a:cxn>
            <a:cxn ang="0">
              <a:pos x="34674" y="136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38100</xdr:colOff>
      <xdr:row>12</xdr:row>
      <xdr:rowOff>85725</xdr:rowOff>
    </xdr:from>
    <xdr:ext cx="257175" cy="171450"/>
    <xdr:sp macro="" textlink="">
      <xdr:nvSpPr>
        <xdr:cNvPr id="3504" name="Shape 3504">
          <a:extLst>
            <a:ext uri="{FF2B5EF4-FFF2-40B4-BE49-F238E27FC236}">
              <a16:creationId xmlns:a16="http://schemas.microsoft.com/office/drawing/2014/main" id="{00000000-0008-0000-0200-0000B00D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29246" y="20"/>
            </a:cxn>
            <a:cxn ang="0">
              <a:pos x="3213" y="2705"/>
            </a:cxn>
            <a:cxn ang="0">
              <a:pos x="34674" y="136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47625</xdr:colOff>
      <xdr:row>8</xdr:row>
      <xdr:rowOff>76200</xdr:rowOff>
    </xdr:from>
    <xdr:ext cx="257175" cy="171450"/>
    <xdr:sp macro="" textlink="">
      <xdr:nvSpPr>
        <xdr:cNvPr id="3506" name="Shape 3506">
          <a:extLst>
            <a:ext uri="{FF2B5EF4-FFF2-40B4-BE49-F238E27FC236}">
              <a16:creationId xmlns:a16="http://schemas.microsoft.com/office/drawing/2014/main" id="{00000000-0008-0000-0200-0000B20D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29246" y="20"/>
            </a:cxn>
            <a:cxn ang="0">
              <a:pos x="3213" y="2705"/>
            </a:cxn>
            <a:cxn ang="0">
              <a:pos x="34674" y="136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38100</xdr:colOff>
      <xdr:row>10</xdr:row>
      <xdr:rowOff>76200</xdr:rowOff>
    </xdr:from>
    <xdr:ext cx="257175" cy="171450"/>
    <xdr:sp macro="" textlink="">
      <xdr:nvSpPr>
        <xdr:cNvPr id="3505" name="Shape 3505">
          <a:extLst>
            <a:ext uri="{FF2B5EF4-FFF2-40B4-BE49-F238E27FC236}">
              <a16:creationId xmlns:a16="http://schemas.microsoft.com/office/drawing/2014/main" id="{00000000-0008-0000-0200-0000B10D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29246" y="20"/>
            </a:cxn>
            <a:cxn ang="0">
              <a:pos x="3213" y="2705"/>
            </a:cxn>
            <a:cxn ang="0">
              <a:pos x="34674" y="1367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314325</xdr:colOff>
      <xdr:row>20</xdr:row>
      <xdr:rowOff>95250</xdr:rowOff>
    </xdr:from>
    <xdr:ext cx="266700" cy="114300"/>
    <xdr:sp macro="" textlink="">
      <xdr:nvSpPr>
        <xdr:cNvPr id="4697" name="Shape 4697">
          <a:extLst>
            <a:ext uri="{FF2B5EF4-FFF2-40B4-BE49-F238E27FC236}">
              <a16:creationId xmlns:a16="http://schemas.microsoft.com/office/drawing/2014/main" id="{00000000-0008-0000-0300-000059120000}"/>
            </a:ext>
          </a:extLst>
        </xdr:cNvPr>
        <xdr:cNvSpPr/>
      </xdr:nvSpPr>
      <xdr:spPr>
        <a:xfrm>
          <a:off x="0" y="0"/>
          <a:ext cx="1" cy="1"/>
        </a:xfrm>
        <a:prstGeom prst="rect">
          <a:avLst/>
        </a:prstGeom>
        <a:solidFill>
          <a:sysClr val="background" lastClr="000000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</xdr:sp>
    <xdr:clientData fLocksWithSheet="0"/>
  </xdr:oneCellAnchor>
  <xdr:oneCellAnchor>
    <xdr:from>
      <xdr:col>18</xdr:col>
      <xdr:colOff>0</xdr:colOff>
      <xdr:row>20</xdr:row>
      <xdr:rowOff>76200</xdr:rowOff>
    </xdr:from>
    <xdr:ext cx="295275" cy="114300"/>
    <xdr:sp macro="" textlink="">
      <xdr:nvSpPr>
        <xdr:cNvPr id="4698" name="Shape 4698">
          <a:extLst>
            <a:ext uri="{FF2B5EF4-FFF2-40B4-BE49-F238E27FC236}">
              <a16:creationId xmlns:a16="http://schemas.microsoft.com/office/drawing/2014/main" id="{00000000-0008-0000-0300-00005A120000}"/>
            </a:ext>
          </a:extLst>
        </xdr:cNvPr>
        <xdr:cNvSpPr/>
      </xdr:nvSpPr>
      <xdr:spPr>
        <a:xfrm>
          <a:off x="0" y="0"/>
          <a:ext cx="1" cy="1"/>
        </a:xfrm>
        <a:prstGeom prst="rect">
          <a:avLst/>
        </a:prstGeom>
        <a:solidFill>
          <a:sysClr val="grayText" lastClr="6D6D6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</xdr:sp>
    <xdr:clientData fLocksWithSheet="0"/>
  </xdr:oneCellAnchor>
  <xdr:oneCellAnchor>
    <xdr:from>
      <xdr:col>18</xdr:col>
      <xdr:colOff>28575</xdr:colOff>
      <xdr:row>18</xdr:row>
      <xdr:rowOff>85725</xdr:rowOff>
    </xdr:from>
    <xdr:ext cx="276225" cy="133350"/>
    <xdr:sp macro="" textlink="">
      <xdr:nvSpPr>
        <xdr:cNvPr id="4699" name="Shape 4699">
          <a:extLst>
            <a:ext uri="{FF2B5EF4-FFF2-40B4-BE49-F238E27FC236}">
              <a16:creationId xmlns:a16="http://schemas.microsoft.com/office/drawing/2014/main" id="{00000000-0008-0000-0300-00005B12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61750" y="29"/>
            </a:cxn>
            <a:cxn ang="0">
              <a:pos x="24314" y="3961"/>
            </a:cxn>
            <a:cxn ang="0">
              <a:pos x="43355" y="2002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15</xdr:col>
      <xdr:colOff>238125</xdr:colOff>
      <xdr:row>16</xdr:row>
      <xdr:rowOff>209550</xdr:rowOff>
    </xdr:from>
    <xdr:ext cx="114300" cy="104775"/>
    <xdr:sp macro="" textlink="">
      <xdr:nvSpPr>
        <xdr:cNvPr id="4700" name="Shape 4700">
          <a:extLst>
            <a:ext uri="{FF2B5EF4-FFF2-40B4-BE49-F238E27FC236}">
              <a16:creationId xmlns:a16="http://schemas.microsoft.com/office/drawing/2014/main" id="{00000000-0008-0000-0300-00005C120000}"/>
            </a:ext>
          </a:extLst>
        </xdr:cNvPr>
        <xdr:cNvSpPr/>
      </xdr:nvSpPr>
      <xdr:spPr>
        <a:xfrm flipH="1" flipV="1"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238125</xdr:colOff>
      <xdr:row>18</xdr:row>
      <xdr:rowOff>228600</xdr:rowOff>
    </xdr:from>
    <xdr:ext cx="104775" cy="95250"/>
    <xdr:sp macro="" textlink="">
      <xdr:nvSpPr>
        <xdr:cNvPr id="4701" name="Shape 4701">
          <a:extLst>
            <a:ext uri="{FF2B5EF4-FFF2-40B4-BE49-F238E27FC236}">
              <a16:creationId xmlns:a16="http://schemas.microsoft.com/office/drawing/2014/main" id="{00000000-0008-0000-0300-00005D120000}"/>
            </a:ext>
          </a:extLst>
        </xdr:cNvPr>
        <xdr:cNvSpPr/>
      </xdr:nvSpPr>
      <xdr:spPr>
        <a:xfrm flipH="1" flipV="1"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14</xdr:col>
      <xdr:colOff>238125</xdr:colOff>
      <xdr:row>14</xdr:row>
      <xdr:rowOff>228600</xdr:rowOff>
    </xdr:from>
    <xdr:ext cx="142875" cy="104775"/>
    <xdr:sp macro="" textlink="">
      <xdr:nvSpPr>
        <xdr:cNvPr id="4702" name="Shape 4702">
          <a:extLst>
            <a:ext uri="{FF2B5EF4-FFF2-40B4-BE49-F238E27FC236}">
              <a16:creationId xmlns:a16="http://schemas.microsoft.com/office/drawing/2014/main" id="{00000000-0008-0000-0300-00005E120000}"/>
            </a:ext>
          </a:extLst>
        </xdr:cNvPr>
        <xdr:cNvSpPr/>
      </xdr:nvSpPr>
      <xdr:spPr>
        <a:xfrm flipH="1" flipV="1"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228600</xdr:colOff>
      <xdr:row>12</xdr:row>
      <xdr:rowOff>209550</xdr:rowOff>
    </xdr:from>
    <xdr:ext cx="114300" cy="104775"/>
    <xdr:sp macro="" textlink="">
      <xdr:nvSpPr>
        <xdr:cNvPr id="4703" name="Shape 4703">
          <a:extLst>
            <a:ext uri="{FF2B5EF4-FFF2-40B4-BE49-F238E27FC236}">
              <a16:creationId xmlns:a16="http://schemas.microsoft.com/office/drawing/2014/main" id="{00000000-0008-0000-0300-00005F120000}"/>
            </a:ext>
          </a:extLst>
        </xdr:cNvPr>
        <xdr:cNvSpPr/>
      </xdr:nvSpPr>
      <xdr:spPr>
        <a:xfrm flipH="1" flipV="1"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238125</xdr:colOff>
      <xdr:row>10</xdr:row>
      <xdr:rowOff>238125</xdr:rowOff>
    </xdr:from>
    <xdr:ext cx="114300" cy="95250"/>
    <xdr:sp macro="" textlink="">
      <xdr:nvSpPr>
        <xdr:cNvPr id="4704" name="Shape 4704">
          <a:extLst>
            <a:ext uri="{FF2B5EF4-FFF2-40B4-BE49-F238E27FC236}">
              <a16:creationId xmlns:a16="http://schemas.microsoft.com/office/drawing/2014/main" id="{00000000-0008-0000-0300-000060120000}"/>
            </a:ext>
          </a:extLst>
        </xdr:cNvPr>
        <xdr:cNvSpPr/>
      </xdr:nvSpPr>
      <xdr:spPr>
        <a:xfrm flipH="1" flipV="1"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14</xdr:col>
      <xdr:colOff>247650</xdr:colOff>
      <xdr:row>8</xdr:row>
      <xdr:rowOff>209550</xdr:rowOff>
    </xdr:from>
    <xdr:ext cx="114300" cy="104775"/>
    <xdr:sp macro="" textlink="">
      <xdr:nvSpPr>
        <xdr:cNvPr id="4705" name="Shape 4705">
          <a:extLst>
            <a:ext uri="{FF2B5EF4-FFF2-40B4-BE49-F238E27FC236}">
              <a16:creationId xmlns:a16="http://schemas.microsoft.com/office/drawing/2014/main" id="{00000000-0008-0000-0300-000061120000}"/>
            </a:ext>
          </a:extLst>
        </xdr:cNvPr>
        <xdr:cNvSpPr/>
      </xdr:nvSpPr>
      <xdr:spPr>
        <a:xfrm flipH="1" flipV="1"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13</xdr:col>
      <xdr:colOff>28575</xdr:colOff>
      <xdr:row>18</xdr:row>
      <xdr:rowOff>133350</xdr:rowOff>
    </xdr:from>
    <xdr:ext cx="266700" cy="133350"/>
    <xdr:sp macro="" textlink="">
      <xdr:nvSpPr>
        <xdr:cNvPr id="4706" name="Shape 4706">
          <a:extLst>
            <a:ext uri="{FF2B5EF4-FFF2-40B4-BE49-F238E27FC236}">
              <a16:creationId xmlns:a16="http://schemas.microsoft.com/office/drawing/2014/main" id="{00000000-0008-0000-0300-00006212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9091" y="25"/>
            </a:cxn>
            <a:cxn ang="0">
              <a:pos x="12972" y="3386"/>
            </a:cxn>
            <a:cxn ang="0">
              <a:pos x="57944" y="171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16</xdr:row>
      <xdr:rowOff>133350</xdr:rowOff>
    </xdr:from>
    <xdr:ext cx="276225" cy="142875"/>
    <xdr:sp macro="" textlink="">
      <xdr:nvSpPr>
        <xdr:cNvPr id="4707" name="Shape 4707">
          <a:extLst>
            <a:ext uri="{FF2B5EF4-FFF2-40B4-BE49-F238E27FC236}">
              <a16:creationId xmlns:a16="http://schemas.microsoft.com/office/drawing/2014/main" id="{00000000-0008-0000-0300-00006312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61750" y="29"/>
            </a:cxn>
            <a:cxn ang="0">
              <a:pos x="24314" y="3961"/>
            </a:cxn>
            <a:cxn ang="0">
              <a:pos x="43355" y="2002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14</xdr:row>
      <xdr:rowOff>133350</xdr:rowOff>
    </xdr:from>
    <xdr:ext cx="266700" cy="133350"/>
    <xdr:sp macro="" textlink="">
      <xdr:nvSpPr>
        <xdr:cNvPr id="4708" name="Shape 4708">
          <a:extLst>
            <a:ext uri="{FF2B5EF4-FFF2-40B4-BE49-F238E27FC236}">
              <a16:creationId xmlns:a16="http://schemas.microsoft.com/office/drawing/2014/main" id="{00000000-0008-0000-0300-00006412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9091" y="25"/>
            </a:cxn>
            <a:cxn ang="0">
              <a:pos x="12972" y="3386"/>
            </a:cxn>
            <a:cxn ang="0">
              <a:pos x="57944" y="171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12</xdr:row>
      <xdr:rowOff>123825</xdr:rowOff>
    </xdr:from>
    <xdr:ext cx="266700" cy="133350"/>
    <xdr:sp macro="" textlink="">
      <xdr:nvSpPr>
        <xdr:cNvPr id="4709" name="Shape 4709">
          <a:extLst>
            <a:ext uri="{FF2B5EF4-FFF2-40B4-BE49-F238E27FC236}">
              <a16:creationId xmlns:a16="http://schemas.microsoft.com/office/drawing/2014/main" id="{00000000-0008-0000-0300-00006512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9091" y="25"/>
            </a:cxn>
            <a:cxn ang="0">
              <a:pos x="12972" y="3386"/>
            </a:cxn>
            <a:cxn ang="0">
              <a:pos x="57944" y="171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16</xdr:row>
      <xdr:rowOff>123825</xdr:rowOff>
    </xdr:from>
    <xdr:ext cx="276225" cy="133350"/>
    <xdr:sp macro="" textlink="">
      <xdr:nvSpPr>
        <xdr:cNvPr id="4716" name="Shape 4716">
          <a:extLst>
            <a:ext uri="{FF2B5EF4-FFF2-40B4-BE49-F238E27FC236}">
              <a16:creationId xmlns:a16="http://schemas.microsoft.com/office/drawing/2014/main" id="{00000000-0008-0000-0300-00006C12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61750" y="29"/>
            </a:cxn>
            <a:cxn ang="0">
              <a:pos x="24314" y="3961"/>
            </a:cxn>
            <a:cxn ang="0">
              <a:pos x="43355" y="2002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10</xdr:row>
      <xdr:rowOff>133350</xdr:rowOff>
    </xdr:from>
    <xdr:ext cx="276225" cy="133350"/>
    <xdr:sp macro="" textlink="">
      <xdr:nvSpPr>
        <xdr:cNvPr id="4710" name="Shape 4710">
          <a:extLst>
            <a:ext uri="{FF2B5EF4-FFF2-40B4-BE49-F238E27FC236}">
              <a16:creationId xmlns:a16="http://schemas.microsoft.com/office/drawing/2014/main" id="{00000000-0008-0000-0300-00006612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61750" y="29"/>
            </a:cxn>
            <a:cxn ang="0">
              <a:pos x="24314" y="3961"/>
            </a:cxn>
            <a:cxn ang="0">
              <a:pos x="43355" y="2002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8</xdr:row>
      <xdr:rowOff>133350</xdr:rowOff>
    </xdr:from>
    <xdr:ext cx="266700" cy="142875"/>
    <xdr:sp macro="" textlink="">
      <xdr:nvSpPr>
        <xdr:cNvPr id="4711" name="Shape 4711">
          <a:extLst>
            <a:ext uri="{FF2B5EF4-FFF2-40B4-BE49-F238E27FC236}">
              <a16:creationId xmlns:a16="http://schemas.microsoft.com/office/drawing/2014/main" id="{00000000-0008-0000-0300-00006712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9091" y="25"/>
            </a:cxn>
            <a:cxn ang="0">
              <a:pos x="12972" y="3386"/>
            </a:cxn>
            <a:cxn ang="0">
              <a:pos x="57944" y="171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28575</xdr:colOff>
      <xdr:row>8</xdr:row>
      <xdr:rowOff>133350</xdr:rowOff>
    </xdr:from>
    <xdr:ext cx="276225" cy="142875"/>
    <xdr:sp macro="" textlink="">
      <xdr:nvSpPr>
        <xdr:cNvPr id="4712" name="Shape 4712">
          <a:extLst>
            <a:ext uri="{FF2B5EF4-FFF2-40B4-BE49-F238E27FC236}">
              <a16:creationId xmlns:a16="http://schemas.microsoft.com/office/drawing/2014/main" id="{00000000-0008-0000-0300-00006812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61750" y="29"/>
            </a:cxn>
            <a:cxn ang="0">
              <a:pos x="24314" y="3961"/>
            </a:cxn>
            <a:cxn ang="0">
              <a:pos x="43355" y="2002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10</xdr:row>
      <xdr:rowOff>133350</xdr:rowOff>
    </xdr:from>
    <xdr:ext cx="266700" cy="133350"/>
    <xdr:sp macro="" textlink="">
      <xdr:nvSpPr>
        <xdr:cNvPr id="4713" name="Shape 4713">
          <a:extLst>
            <a:ext uri="{FF2B5EF4-FFF2-40B4-BE49-F238E27FC236}">
              <a16:creationId xmlns:a16="http://schemas.microsoft.com/office/drawing/2014/main" id="{00000000-0008-0000-0300-00006912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9091" y="25"/>
            </a:cxn>
            <a:cxn ang="0">
              <a:pos x="12972" y="3386"/>
            </a:cxn>
            <a:cxn ang="0">
              <a:pos x="57944" y="171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9525</xdr:colOff>
      <xdr:row>12</xdr:row>
      <xdr:rowOff>133350</xdr:rowOff>
    </xdr:from>
    <xdr:ext cx="276225" cy="133350"/>
    <xdr:sp macro="" textlink="">
      <xdr:nvSpPr>
        <xdr:cNvPr id="4714" name="Shape 4714">
          <a:extLst>
            <a:ext uri="{FF2B5EF4-FFF2-40B4-BE49-F238E27FC236}">
              <a16:creationId xmlns:a16="http://schemas.microsoft.com/office/drawing/2014/main" id="{00000000-0008-0000-0300-00006A12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61750" y="29"/>
            </a:cxn>
            <a:cxn ang="0">
              <a:pos x="24314" y="3961"/>
            </a:cxn>
            <a:cxn ang="0">
              <a:pos x="43355" y="2002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14</xdr:row>
      <xdr:rowOff>133350</xdr:rowOff>
    </xdr:from>
    <xdr:ext cx="276225" cy="133350"/>
    <xdr:sp macro="" textlink="">
      <xdr:nvSpPr>
        <xdr:cNvPr id="4715" name="Shape 4715">
          <a:extLst>
            <a:ext uri="{FF2B5EF4-FFF2-40B4-BE49-F238E27FC236}">
              <a16:creationId xmlns:a16="http://schemas.microsoft.com/office/drawing/2014/main" id="{00000000-0008-0000-0300-00006B12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61750" y="29"/>
            </a:cxn>
            <a:cxn ang="0">
              <a:pos x="24314" y="3961"/>
            </a:cxn>
            <a:cxn ang="0">
              <a:pos x="43355" y="2002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114300</xdr:colOff>
      <xdr:row>16</xdr:row>
      <xdr:rowOff>95250</xdr:rowOff>
    </xdr:from>
    <xdr:ext cx="400050" cy="133350"/>
    <xdr:sp macro="" textlink="">
      <xdr:nvSpPr>
        <xdr:cNvPr id="5541" name="Shape 5541">
          <a:extLst>
            <a:ext uri="{FF2B5EF4-FFF2-40B4-BE49-F238E27FC236}">
              <a16:creationId xmlns:a16="http://schemas.microsoft.com/office/drawing/2014/main" id="{00000000-0008-0000-0400-0000A5150000}"/>
            </a:ext>
          </a:extLst>
        </xdr:cNvPr>
        <xdr:cNvSpPr/>
      </xdr:nvSpPr>
      <xdr:spPr>
        <a:xfrm>
          <a:off x="0" y="0"/>
          <a:ext cx="1" cy="1"/>
        </a:xfrm>
        <a:prstGeom prst="rect">
          <a:avLst/>
        </a:prstGeom>
        <a:solidFill>
          <a:sysClr val="background" lastClr="000000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</xdr:sp>
    <xdr:clientData fLocksWithSheet="0"/>
  </xdr:oneCellAnchor>
  <xdr:oneCellAnchor>
    <xdr:from>
      <xdr:col>17</xdr:col>
      <xdr:colOff>247650</xdr:colOff>
      <xdr:row>16</xdr:row>
      <xdr:rowOff>95250</xdr:rowOff>
    </xdr:from>
    <xdr:ext cx="485775" cy="114300"/>
    <xdr:sp macro="" textlink="">
      <xdr:nvSpPr>
        <xdr:cNvPr id="5542" name="Shape 5542">
          <a:extLst>
            <a:ext uri="{FF2B5EF4-FFF2-40B4-BE49-F238E27FC236}">
              <a16:creationId xmlns:a16="http://schemas.microsoft.com/office/drawing/2014/main" id="{00000000-0008-0000-0400-0000A6150000}"/>
            </a:ext>
          </a:extLst>
        </xdr:cNvPr>
        <xdr:cNvSpPr/>
      </xdr:nvSpPr>
      <xdr:spPr>
        <a:xfrm>
          <a:off x="0" y="0"/>
          <a:ext cx="1" cy="1"/>
        </a:xfrm>
        <a:prstGeom prst="rect">
          <a:avLst/>
        </a:prstGeom>
        <a:solidFill>
          <a:sysClr val="grayText" lastClr="6D6D6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</xdr:sp>
    <xdr:clientData fLocksWithSheet="0"/>
  </xdr:oneCellAnchor>
  <xdr:oneCellAnchor>
    <xdr:from>
      <xdr:col>18</xdr:col>
      <xdr:colOff>38100</xdr:colOff>
      <xdr:row>8</xdr:row>
      <xdr:rowOff>123825</xdr:rowOff>
    </xdr:from>
    <xdr:ext cx="266700" cy="123825"/>
    <xdr:sp macro="" textlink="">
      <xdr:nvSpPr>
        <xdr:cNvPr id="5543" name="Shape 5543">
          <a:extLst>
            <a:ext uri="{FF2B5EF4-FFF2-40B4-BE49-F238E27FC236}">
              <a16:creationId xmlns:a16="http://schemas.microsoft.com/office/drawing/2014/main" id="{00000000-0008-0000-0400-0000A715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6293" y="24"/>
            </a:cxn>
            <a:cxn ang="0">
              <a:pos x="58655" y="3246"/>
            </a:cxn>
            <a:cxn ang="0">
              <a:pos x="30515" y="164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14</xdr:col>
      <xdr:colOff>314325</xdr:colOff>
      <xdr:row>8</xdr:row>
      <xdr:rowOff>190500</xdr:rowOff>
    </xdr:from>
    <xdr:ext cx="142875" cy="123825"/>
    <xdr:sp macro="" textlink="">
      <xdr:nvSpPr>
        <xdr:cNvPr id="5544" name="Shape 5544">
          <a:extLst>
            <a:ext uri="{FF2B5EF4-FFF2-40B4-BE49-F238E27FC236}">
              <a16:creationId xmlns:a16="http://schemas.microsoft.com/office/drawing/2014/main" id="{00000000-0008-0000-0400-0000A815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266700</xdr:colOff>
      <xdr:row>10</xdr:row>
      <xdr:rowOff>200025</xdr:rowOff>
    </xdr:from>
    <xdr:ext cx="152400" cy="123825"/>
    <xdr:sp macro="" textlink="">
      <xdr:nvSpPr>
        <xdr:cNvPr id="5545" name="Shape 5545">
          <a:extLst>
            <a:ext uri="{FF2B5EF4-FFF2-40B4-BE49-F238E27FC236}">
              <a16:creationId xmlns:a16="http://schemas.microsoft.com/office/drawing/2014/main" id="{00000000-0008-0000-0400-0000A915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266700</xdr:colOff>
      <xdr:row>12</xdr:row>
      <xdr:rowOff>190500</xdr:rowOff>
    </xdr:from>
    <xdr:ext cx="142875" cy="133350"/>
    <xdr:sp macro="" textlink="">
      <xdr:nvSpPr>
        <xdr:cNvPr id="5546" name="Shape 5546">
          <a:extLst>
            <a:ext uri="{FF2B5EF4-FFF2-40B4-BE49-F238E27FC236}">
              <a16:creationId xmlns:a16="http://schemas.microsoft.com/office/drawing/2014/main" id="{00000000-0008-0000-0400-0000AA15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285750</xdr:colOff>
      <xdr:row>14</xdr:row>
      <xdr:rowOff>209550</xdr:rowOff>
    </xdr:from>
    <xdr:ext cx="133350" cy="133350"/>
    <xdr:sp macro="" textlink="">
      <xdr:nvSpPr>
        <xdr:cNvPr id="5547" name="Shape 5547">
          <a:extLst>
            <a:ext uri="{FF2B5EF4-FFF2-40B4-BE49-F238E27FC236}">
              <a16:creationId xmlns:a16="http://schemas.microsoft.com/office/drawing/2014/main" id="{00000000-0008-0000-0400-0000AB15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18</xdr:col>
      <xdr:colOff>38100</xdr:colOff>
      <xdr:row>10</xdr:row>
      <xdr:rowOff>133350</xdr:rowOff>
    </xdr:from>
    <xdr:ext cx="257175" cy="123825"/>
    <xdr:sp macro="" textlink="">
      <xdr:nvSpPr>
        <xdr:cNvPr id="5548" name="Shape 5548">
          <a:extLst>
            <a:ext uri="{FF2B5EF4-FFF2-40B4-BE49-F238E27FC236}">
              <a16:creationId xmlns:a16="http://schemas.microsoft.com/office/drawing/2014/main" id="{00000000-0008-0000-0400-0000AC15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55906" y="20"/>
            </a:cxn>
            <a:cxn ang="0">
              <a:pos x="48427" y="2757"/>
            </a:cxn>
            <a:cxn ang="0">
              <a:pos x="11282" y="1394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47625</xdr:colOff>
      <xdr:row>12</xdr:row>
      <xdr:rowOff>123825</xdr:rowOff>
    </xdr:from>
    <xdr:ext cx="257175" cy="123825"/>
    <xdr:sp macro="" textlink="">
      <xdr:nvSpPr>
        <xdr:cNvPr id="5549" name="Shape 5549">
          <a:extLst>
            <a:ext uri="{FF2B5EF4-FFF2-40B4-BE49-F238E27FC236}">
              <a16:creationId xmlns:a16="http://schemas.microsoft.com/office/drawing/2014/main" id="{00000000-0008-0000-0400-0000AD15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55906" y="20"/>
            </a:cxn>
            <a:cxn ang="0">
              <a:pos x="48427" y="2757"/>
            </a:cxn>
            <a:cxn ang="0">
              <a:pos x="11282" y="1394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38100</xdr:colOff>
      <xdr:row>14</xdr:row>
      <xdr:rowOff>133350</xdr:rowOff>
    </xdr:from>
    <xdr:ext cx="266700" cy="123825"/>
    <xdr:sp macro="" textlink="">
      <xdr:nvSpPr>
        <xdr:cNvPr id="5550" name="Shape 5550">
          <a:extLst>
            <a:ext uri="{FF2B5EF4-FFF2-40B4-BE49-F238E27FC236}">
              <a16:creationId xmlns:a16="http://schemas.microsoft.com/office/drawing/2014/main" id="{00000000-0008-0000-0400-0000AE15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6293" y="24"/>
            </a:cxn>
            <a:cxn ang="0">
              <a:pos x="58655" y="3246"/>
            </a:cxn>
            <a:cxn ang="0">
              <a:pos x="30515" y="164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38100</xdr:colOff>
      <xdr:row>8</xdr:row>
      <xdr:rowOff>133350</xdr:rowOff>
    </xdr:from>
    <xdr:ext cx="257175" cy="123825"/>
    <xdr:sp macro="" textlink="">
      <xdr:nvSpPr>
        <xdr:cNvPr id="5551" name="Shape 5551">
          <a:extLst>
            <a:ext uri="{FF2B5EF4-FFF2-40B4-BE49-F238E27FC236}">
              <a16:creationId xmlns:a16="http://schemas.microsoft.com/office/drawing/2014/main" id="{00000000-0008-0000-0400-0000AF15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55906" y="20"/>
            </a:cxn>
            <a:cxn ang="0">
              <a:pos x="48427" y="2757"/>
            </a:cxn>
            <a:cxn ang="0">
              <a:pos x="11282" y="1394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28575</xdr:colOff>
      <xdr:row>10</xdr:row>
      <xdr:rowOff>142875</xdr:rowOff>
    </xdr:from>
    <xdr:ext cx="266700" cy="123825"/>
    <xdr:sp macro="" textlink="">
      <xdr:nvSpPr>
        <xdr:cNvPr id="5552" name="Shape 5552">
          <a:extLst>
            <a:ext uri="{FF2B5EF4-FFF2-40B4-BE49-F238E27FC236}">
              <a16:creationId xmlns:a16="http://schemas.microsoft.com/office/drawing/2014/main" id="{00000000-0008-0000-0400-0000B015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6293" y="24"/>
            </a:cxn>
            <a:cxn ang="0">
              <a:pos x="58655" y="3246"/>
            </a:cxn>
            <a:cxn ang="0">
              <a:pos x="30515" y="164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38100</xdr:colOff>
      <xdr:row>14</xdr:row>
      <xdr:rowOff>133350</xdr:rowOff>
    </xdr:from>
    <xdr:ext cx="266700" cy="123825"/>
    <xdr:sp macro="" textlink="">
      <xdr:nvSpPr>
        <xdr:cNvPr id="5554" name="Shape 5554">
          <a:extLst>
            <a:ext uri="{FF2B5EF4-FFF2-40B4-BE49-F238E27FC236}">
              <a16:creationId xmlns:a16="http://schemas.microsoft.com/office/drawing/2014/main" id="{00000000-0008-0000-0400-0000B215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6293" y="24"/>
            </a:cxn>
            <a:cxn ang="0">
              <a:pos x="58655" y="3246"/>
            </a:cxn>
            <a:cxn ang="0">
              <a:pos x="30515" y="164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12</xdr:row>
      <xdr:rowOff>133350</xdr:rowOff>
    </xdr:from>
    <xdr:ext cx="257175" cy="123825"/>
    <xdr:sp macro="" textlink="">
      <xdr:nvSpPr>
        <xdr:cNvPr id="5553" name="Shape 5553">
          <a:extLst>
            <a:ext uri="{FF2B5EF4-FFF2-40B4-BE49-F238E27FC236}">
              <a16:creationId xmlns:a16="http://schemas.microsoft.com/office/drawing/2014/main" id="{00000000-0008-0000-0400-0000B115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55906" y="20"/>
            </a:cxn>
            <a:cxn ang="0">
              <a:pos x="48427" y="2757"/>
            </a:cxn>
            <a:cxn ang="0">
              <a:pos x="11282" y="1394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171450</xdr:colOff>
      <xdr:row>20</xdr:row>
      <xdr:rowOff>76200</xdr:rowOff>
    </xdr:from>
    <xdr:ext cx="457200" cy="133350"/>
    <xdr:sp macro="" textlink="">
      <xdr:nvSpPr>
        <xdr:cNvPr id="6775" name="Shape 6775">
          <a:extLst>
            <a:ext uri="{FF2B5EF4-FFF2-40B4-BE49-F238E27FC236}">
              <a16:creationId xmlns:a16="http://schemas.microsoft.com/office/drawing/2014/main" id="{00000000-0008-0000-0500-0000771A0000}"/>
            </a:ext>
          </a:extLst>
        </xdr:cNvPr>
        <xdr:cNvSpPr/>
      </xdr:nvSpPr>
      <xdr:spPr>
        <a:xfrm>
          <a:off x="0" y="0"/>
          <a:ext cx="1" cy="1"/>
        </a:xfrm>
        <a:prstGeom prst="rect">
          <a:avLst/>
        </a:prstGeom>
        <a:solidFill>
          <a:sysClr val="background" lastClr="000000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</xdr:sp>
    <xdr:clientData fLocksWithSheet="0"/>
  </xdr:oneCellAnchor>
  <xdr:oneCellAnchor>
    <xdr:from>
      <xdr:col>17</xdr:col>
      <xdr:colOff>400050</xdr:colOff>
      <xdr:row>20</xdr:row>
      <xdr:rowOff>76200</xdr:rowOff>
    </xdr:from>
    <xdr:ext cx="466725" cy="133350"/>
    <xdr:sp macro="" textlink="">
      <xdr:nvSpPr>
        <xdr:cNvPr id="6776" name="Shape 6776">
          <a:extLst>
            <a:ext uri="{FF2B5EF4-FFF2-40B4-BE49-F238E27FC236}">
              <a16:creationId xmlns:a16="http://schemas.microsoft.com/office/drawing/2014/main" id="{00000000-0008-0000-0500-0000781A0000}"/>
            </a:ext>
          </a:extLst>
        </xdr:cNvPr>
        <xdr:cNvSpPr/>
      </xdr:nvSpPr>
      <xdr:spPr>
        <a:xfrm>
          <a:off x="0" y="0"/>
          <a:ext cx="1" cy="1"/>
        </a:xfrm>
        <a:prstGeom prst="rect">
          <a:avLst/>
        </a:prstGeom>
        <a:solidFill>
          <a:sysClr val="grayText" lastClr="6D6D6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</xdr:sp>
    <xdr:clientData fLocksWithSheet="0"/>
  </xdr:oneCellAnchor>
  <xdr:oneCellAnchor>
    <xdr:from>
      <xdr:col>18</xdr:col>
      <xdr:colOff>28575</xdr:colOff>
      <xdr:row>18</xdr:row>
      <xdr:rowOff>95250</xdr:rowOff>
    </xdr:from>
    <xdr:ext cx="276225" cy="142875"/>
    <xdr:sp macro="" textlink="">
      <xdr:nvSpPr>
        <xdr:cNvPr id="6777" name="Shape 6777">
          <a:extLst>
            <a:ext uri="{FF2B5EF4-FFF2-40B4-BE49-F238E27FC236}">
              <a16:creationId xmlns:a16="http://schemas.microsoft.com/office/drawing/2014/main" id="{00000000-0008-0000-0500-0000791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51419" y="30"/>
            </a:cxn>
            <a:cxn ang="0">
              <a:pos x="10226" y="4071"/>
            </a:cxn>
            <a:cxn ang="0">
              <a:pos x="10674" y="2058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16</xdr:col>
      <xdr:colOff>323850</xdr:colOff>
      <xdr:row>18</xdr:row>
      <xdr:rowOff>228600</xdr:rowOff>
    </xdr:from>
    <xdr:ext cx="114300" cy="95250"/>
    <xdr:sp macro="" textlink="">
      <xdr:nvSpPr>
        <xdr:cNvPr id="6778" name="Shape 6778">
          <a:extLst>
            <a:ext uri="{FF2B5EF4-FFF2-40B4-BE49-F238E27FC236}">
              <a16:creationId xmlns:a16="http://schemas.microsoft.com/office/drawing/2014/main" id="{00000000-0008-0000-0500-00007A1A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18</xdr:col>
      <xdr:colOff>19050</xdr:colOff>
      <xdr:row>16</xdr:row>
      <xdr:rowOff>123825</xdr:rowOff>
    </xdr:from>
    <xdr:ext cx="285750" cy="133350"/>
    <xdr:sp macro="" textlink="">
      <xdr:nvSpPr>
        <xdr:cNvPr id="6779" name="Shape 6779">
          <a:extLst>
            <a:ext uri="{FF2B5EF4-FFF2-40B4-BE49-F238E27FC236}">
              <a16:creationId xmlns:a16="http://schemas.microsoft.com/office/drawing/2014/main" id="{00000000-0008-0000-0500-00007B1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52313" y="35"/>
            </a:cxn>
            <a:cxn ang="0">
              <a:pos x="36673" y="4734"/>
            </a:cxn>
            <a:cxn ang="0">
              <a:pos x="35758" y="2393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47625</xdr:colOff>
      <xdr:row>14</xdr:row>
      <xdr:rowOff>95250</xdr:rowOff>
    </xdr:from>
    <xdr:ext cx="285750" cy="142875"/>
    <xdr:sp macro="" textlink="">
      <xdr:nvSpPr>
        <xdr:cNvPr id="6780" name="Shape 6780">
          <a:extLst>
            <a:ext uri="{FF2B5EF4-FFF2-40B4-BE49-F238E27FC236}">
              <a16:creationId xmlns:a16="http://schemas.microsoft.com/office/drawing/2014/main" id="{00000000-0008-0000-0500-00007C1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52313" y="35"/>
            </a:cxn>
            <a:cxn ang="0">
              <a:pos x="36673" y="4734"/>
            </a:cxn>
            <a:cxn ang="0">
              <a:pos x="35758" y="2393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12</xdr:row>
      <xdr:rowOff>123825</xdr:rowOff>
    </xdr:from>
    <xdr:ext cx="276225" cy="152400"/>
    <xdr:sp macro="" textlink="">
      <xdr:nvSpPr>
        <xdr:cNvPr id="6781" name="Shape 6781">
          <a:extLst>
            <a:ext uri="{FF2B5EF4-FFF2-40B4-BE49-F238E27FC236}">
              <a16:creationId xmlns:a16="http://schemas.microsoft.com/office/drawing/2014/main" id="{00000000-0008-0000-0500-00007D1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51419" y="30"/>
            </a:cxn>
            <a:cxn ang="0">
              <a:pos x="10226" y="4071"/>
            </a:cxn>
            <a:cxn ang="0">
              <a:pos x="10674" y="2058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28575</xdr:colOff>
      <xdr:row>10</xdr:row>
      <xdr:rowOff>95250</xdr:rowOff>
    </xdr:from>
    <xdr:ext cx="276225" cy="142875"/>
    <xdr:sp macro="" textlink="">
      <xdr:nvSpPr>
        <xdr:cNvPr id="6782" name="Shape 6782">
          <a:extLst>
            <a:ext uri="{FF2B5EF4-FFF2-40B4-BE49-F238E27FC236}">
              <a16:creationId xmlns:a16="http://schemas.microsoft.com/office/drawing/2014/main" id="{00000000-0008-0000-0500-00007E1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51419" y="30"/>
            </a:cxn>
            <a:cxn ang="0">
              <a:pos x="10226" y="4071"/>
            </a:cxn>
            <a:cxn ang="0">
              <a:pos x="10674" y="2058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8</xdr:row>
      <xdr:rowOff>95250</xdr:rowOff>
    </xdr:from>
    <xdr:ext cx="276225" cy="142875"/>
    <xdr:sp macro="" textlink="">
      <xdr:nvSpPr>
        <xdr:cNvPr id="6783" name="Shape 6783">
          <a:extLst>
            <a:ext uri="{FF2B5EF4-FFF2-40B4-BE49-F238E27FC236}">
              <a16:creationId xmlns:a16="http://schemas.microsoft.com/office/drawing/2014/main" id="{00000000-0008-0000-0500-00007F1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51419" y="30"/>
            </a:cxn>
            <a:cxn ang="0">
              <a:pos x="10226" y="4071"/>
            </a:cxn>
            <a:cxn ang="0">
              <a:pos x="10674" y="2058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28575</xdr:colOff>
      <xdr:row>8</xdr:row>
      <xdr:rowOff>123825</xdr:rowOff>
    </xdr:from>
    <xdr:ext cx="285750" cy="133350"/>
    <xdr:sp macro="" textlink="">
      <xdr:nvSpPr>
        <xdr:cNvPr id="6784" name="Shape 6784">
          <a:extLst>
            <a:ext uri="{FF2B5EF4-FFF2-40B4-BE49-F238E27FC236}">
              <a16:creationId xmlns:a16="http://schemas.microsoft.com/office/drawing/2014/main" id="{00000000-0008-0000-0500-0000801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52313" y="35"/>
            </a:cxn>
            <a:cxn ang="0">
              <a:pos x="36673" y="4734"/>
            </a:cxn>
            <a:cxn ang="0">
              <a:pos x="35758" y="2393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14</xdr:col>
      <xdr:colOff>409575</xdr:colOff>
      <xdr:row>8</xdr:row>
      <xdr:rowOff>209550</xdr:rowOff>
    </xdr:from>
    <xdr:ext cx="114300" cy="104775"/>
    <xdr:sp macro="" textlink="">
      <xdr:nvSpPr>
        <xdr:cNvPr id="6795" name="Shape 6795">
          <a:extLst>
            <a:ext uri="{FF2B5EF4-FFF2-40B4-BE49-F238E27FC236}">
              <a16:creationId xmlns:a16="http://schemas.microsoft.com/office/drawing/2014/main" id="{00000000-0008-0000-0500-00008B1A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13</xdr:col>
      <xdr:colOff>47625</xdr:colOff>
      <xdr:row>10</xdr:row>
      <xdr:rowOff>114300</xdr:rowOff>
    </xdr:from>
    <xdr:ext cx="276225" cy="142875"/>
    <xdr:sp macro="" textlink="">
      <xdr:nvSpPr>
        <xdr:cNvPr id="6785" name="Shape 6785">
          <a:extLst>
            <a:ext uri="{FF2B5EF4-FFF2-40B4-BE49-F238E27FC236}">
              <a16:creationId xmlns:a16="http://schemas.microsoft.com/office/drawing/2014/main" id="{00000000-0008-0000-0500-0000811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51419" y="30"/>
            </a:cxn>
            <a:cxn ang="0">
              <a:pos x="10226" y="4071"/>
            </a:cxn>
            <a:cxn ang="0">
              <a:pos x="10674" y="2058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9525</xdr:colOff>
      <xdr:row>12</xdr:row>
      <xdr:rowOff>114300</xdr:rowOff>
    </xdr:from>
    <xdr:ext cx="285750" cy="142875"/>
    <xdr:sp macro="" textlink="">
      <xdr:nvSpPr>
        <xdr:cNvPr id="6786" name="Shape 6786">
          <a:extLst>
            <a:ext uri="{FF2B5EF4-FFF2-40B4-BE49-F238E27FC236}">
              <a16:creationId xmlns:a16="http://schemas.microsoft.com/office/drawing/2014/main" id="{00000000-0008-0000-0500-0000821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52313" y="35"/>
            </a:cxn>
            <a:cxn ang="0">
              <a:pos x="36673" y="4734"/>
            </a:cxn>
            <a:cxn ang="0">
              <a:pos x="35758" y="2393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28575</xdr:colOff>
      <xdr:row>14</xdr:row>
      <xdr:rowOff>114300</xdr:rowOff>
    </xdr:from>
    <xdr:ext cx="285750" cy="133350"/>
    <xdr:sp macro="" textlink="">
      <xdr:nvSpPr>
        <xdr:cNvPr id="6787" name="Shape 6787">
          <a:extLst>
            <a:ext uri="{FF2B5EF4-FFF2-40B4-BE49-F238E27FC236}">
              <a16:creationId xmlns:a16="http://schemas.microsoft.com/office/drawing/2014/main" id="{00000000-0008-0000-0500-0000831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52313" y="35"/>
            </a:cxn>
            <a:cxn ang="0">
              <a:pos x="36673" y="4734"/>
            </a:cxn>
            <a:cxn ang="0">
              <a:pos x="35758" y="2393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28575</xdr:colOff>
      <xdr:row>16</xdr:row>
      <xdr:rowOff>95250</xdr:rowOff>
    </xdr:from>
    <xdr:ext cx="276225" cy="142875"/>
    <xdr:sp macro="" textlink="">
      <xdr:nvSpPr>
        <xdr:cNvPr id="6788" name="Shape 6788">
          <a:extLst>
            <a:ext uri="{FF2B5EF4-FFF2-40B4-BE49-F238E27FC236}">
              <a16:creationId xmlns:a16="http://schemas.microsoft.com/office/drawing/2014/main" id="{00000000-0008-0000-0500-0000841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51419" y="30"/>
            </a:cxn>
            <a:cxn ang="0">
              <a:pos x="10226" y="4071"/>
            </a:cxn>
            <a:cxn ang="0">
              <a:pos x="10674" y="2058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18</xdr:row>
      <xdr:rowOff>85725</xdr:rowOff>
    </xdr:from>
    <xdr:ext cx="285750" cy="142875"/>
    <xdr:sp macro="" textlink="">
      <xdr:nvSpPr>
        <xdr:cNvPr id="6789" name="Shape 6789">
          <a:extLst>
            <a:ext uri="{FF2B5EF4-FFF2-40B4-BE49-F238E27FC236}">
              <a16:creationId xmlns:a16="http://schemas.microsoft.com/office/drawing/2014/main" id="{00000000-0008-0000-0500-0000851A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52313" y="35"/>
            </a:cxn>
            <a:cxn ang="0">
              <a:pos x="36673" y="4734"/>
            </a:cxn>
            <a:cxn ang="0">
              <a:pos x="35758" y="2393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15</xdr:col>
      <xdr:colOff>333375</xdr:colOff>
      <xdr:row>16</xdr:row>
      <xdr:rowOff>209550</xdr:rowOff>
    </xdr:from>
    <xdr:ext cx="114300" cy="104775"/>
    <xdr:sp macro="" textlink="">
      <xdr:nvSpPr>
        <xdr:cNvPr id="6790" name="Shape 6790">
          <a:extLst>
            <a:ext uri="{FF2B5EF4-FFF2-40B4-BE49-F238E27FC236}">
              <a16:creationId xmlns:a16="http://schemas.microsoft.com/office/drawing/2014/main" id="{00000000-0008-0000-0500-0000861A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14</xdr:col>
      <xdr:colOff>428625</xdr:colOff>
      <xdr:row>14</xdr:row>
      <xdr:rowOff>228600</xdr:rowOff>
    </xdr:from>
    <xdr:ext cx="104775" cy="95250"/>
    <xdr:sp macro="" textlink="">
      <xdr:nvSpPr>
        <xdr:cNvPr id="6791" name="Shape 6791">
          <a:extLst>
            <a:ext uri="{FF2B5EF4-FFF2-40B4-BE49-F238E27FC236}">
              <a16:creationId xmlns:a16="http://schemas.microsoft.com/office/drawing/2014/main" id="{00000000-0008-0000-0500-0000871A0000}"/>
            </a:ext>
          </a:extLst>
        </xdr:cNvPr>
        <xdr:cNvSpPr/>
      </xdr:nvSpPr>
      <xdr:spPr>
        <a:xfrm flipH="1" flipV="1"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14</xdr:col>
      <xdr:colOff>428625</xdr:colOff>
      <xdr:row>14</xdr:row>
      <xdr:rowOff>228600</xdr:rowOff>
    </xdr:from>
    <xdr:ext cx="104775" cy="104775"/>
    <xdr:sp macro="" textlink="">
      <xdr:nvSpPr>
        <xdr:cNvPr id="6792" name="Shape 6792">
          <a:extLst>
            <a:ext uri="{FF2B5EF4-FFF2-40B4-BE49-F238E27FC236}">
              <a16:creationId xmlns:a16="http://schemas.microsoft.com/office/drawing/2014/main" id="{00000000-0008-0000-0500-0000881A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333375</xdr:colOff>
      <xdr:row>12</xdr:row>
      <xdr:rowOff>238125</xdr:rowOff>
    </xdr:from>
    <xdr:ext cx="114300" cy="95250"/>
    <xdr:sp macro="" textlink="">
      <xdr:nvSpPr>
        <xdr:cNvPr id="6793" name="Shape 6793">
          <a:extLst>
            <a:ext uri="{FF2B5EF4-FFF2-40B4-BE49-F238E27FC236}">
              <a16:creationId xmlns:a16="http://schemas.microsoft.com/office/drawing/2014/main" id="{00000000-0008-0000-0500-0000891A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323850</xdr:colOff>
      <xdr:row>10</xdr:row>
      <xdr:rowOff>200025</xdr:rowOff>
    </xdr:from>
    <xdr:ext cx="114300" cy="114300"/>
    <xdr:sp macro="" textlink="">
      <xdr:nvSpPr>
        <xdr:cNvPr id="6794" name="Shape 6794">
          <a:extLst>
            <a:ext uri="{FF2B5EF4-FFF2-40B4-BE49-F238E27FC236}">
              <a16:creationId xmlns:a16="http://schemas.microsoft.com/office/drawing/2014/main" id="{00000000-0008-0000-0500-00008A1A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428625</xdr:colOff>
      <xdr:row>44</xdr:row>
      <xdr:rowOff>57150</xdr:rowOff>
    </xdr:from>
    <xdr:ext cx="485775" cy="95250"/>
    <xdr:sp macro="" textlink="">
      <xdr:nvSpPr>
        <xdr:cNvPr id="9873" name="Shape 9873">
          <a:extLst>
            <a:ext uri="{FF2B5EF4-FFF2-40B4-BE49-F238E27FC236}">
              <a16:creationId xmlns:a16="http://schemas.microsoft.com/office/drawing/2014/main" id="{00000000-0008-0000-0600-000091260000}"/>
            </a:ext>
          </a:extLst>
        </xdr:cNvPr>
        <xdr:cNvSpPr/>
      </xdr:nvSpPr>
      <xdr:spPr>
        <a:xfrm>
          <a:off x="0" y="0"/>
          <a:ext cx="1" cy="1"/>
        </a:xfrm>
        <a:prstGeom prst="rect">
          <a:avLst/>
        </a:prstGeom>
        <a:solidFill>
          <a:sysClr val="background" lastClr="000000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</xdr:sp>
    <xdr:clientData fLocksWithSheet="0"/>
  </xdr:oneCellAnchor>
  <xdr:oneCellAnchor>
    <xdr:from>
      <xdr:col>18</xdr:col>
      <xdr:colOff>9525</xdr:colOff>
      <xdr:row>44</xdr:row>
      <xdr:rowOff>76200</xdr:rowOff>
    </xdr:from>
    <xdr:ext cx="476250" cy="95250"/>
    <xdr:sp macro="" textlink="">
      <xdr:nvSpPr>
        <xdr:cNvPr id="9874" name="Shape 9874">
          <a:extLst>
            <a:ext uri="{FF2B5EF4-FFF2-40B4-BE49-F238E27FC236}">
              <a16:creationId xmlns:a16="http://schemas.microsoft.com/office/drawing/2014/main" id="{00000000-0008-0000-0600-000092260000}"/>
            </a:ext>
          </a:extLst>
        </xdr:cNvPr>
        <xdr:cNvSpPr/>
      </xdr:nvSpPr>
      <xdr:spPr>
        <a:xfrm>
          <a:off x="0" y="0"/>
          <a:ext cx="1" cy="1"/>
        </a:xfrm>
        <a:prstGeom prst="rect">
          <a:avLst/>
        </a:prstGeom>
        <a:solidFill>
          <a:sysClr val="grayText" lastClr="6D6D6D"/>
        </a:solidFill>
        <a:ln w="25400" cap="flat" cmpd="sng" algn="ctr">
          <a:solidFill>
            <a:srgbClr val="385D8A"/>
          </a:solidFill>
          <a:miter lim="800000"/>
          <a:headEnd/>
          <a:tailEnd/>
        </a:ln>
      </xdr:spPr>
    </xdr:sp>
    <xdr:clientData fLocksWithSheet="0"/>
  </xdr:oneCellAnchor>
  <xdr:oneCellAnchor>
    <xdr:from>
      <xdr:col>18</xdr:col>
      <xdr:colOff>28575</xdr:colOff>
      <xdr:row>8</xdr:row>
      <xdr:rowOff>76200</xdr:rowOff>
    </xdr:from>
    <xdr:ext cx="295275" cy="190500"/>
    <xdr:sp macro="" textlink="">
      <xdr:nvSpPr>
        <xdr:cNvPr id="9875" name="Shape 9875">
          <a:extLst>
            <a:ext uri="{FF2B5EF4-FFF2-40B4-BE49-F238E27FC236}">
              <a16:creationId xmlns:a16="http://schemas.microsoft.com/office/drawing/2014/main" id="{00000000-0008-0000-0600-000093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14</xdr:col>
      <xdr:colOff>400050</xdr:colOff>
      <xdr:row>8</xdr:row>
      <xdr:rowOff>171450</xdr:rowOff>
    </xdr:from>
    <xdr:ext cx="104775" cy="180975"/>
    <xdr:sp macro="" textlink="">
      <xdr:nvSpPr>
        <xdr:cNvPr id="9876" name="Shape 9876">
          <a:extLst>
            <a:ext uri="{FF2B5EF4-FFF2-40B4-BE49-F238E27FC236}">
              <a16:creationId xmlns:a16="http://schemas.microsoft.com/office/drawing/2014/main" id="{00000000-0008-0000-0600-00009426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18</xdr:col>
      <xdr:colOff>28575</xdr:colOff>
      <xdr:row>10</xdr:row>
      <xdr:rowOff>76200</xdr:rowOff>
    </xdr:from>
    <xdr:ext cx="295275" cy="190500"/>
    <xdr:sp macro="" textlink="">
      <xdr:nvSpPr>
        <xdr:cNvPr id="9877" name="Shape 9877">
          <a:extLst>
            <a:ext uri="{FF2B5EF4-FFF2-40B4-BE49-F238E27FC236}">
              <a16:creationId xmlns:a16="http://schemas.microsoft.com/office/drawing/2014/main" id="{00000000-0008-0000-0600-000095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12</xdr:row>
      <xdr:rowOff>76200</xdr:rowOff>
    </xdr:from>
    <xdr:ext cx="295275" cy="190500"/>
    <xdr:sp macro="" textlink="">
      <xdr:nvSpPr>
        <xdr:cNvPr id="9878" name="Shape 9878">
          <a:extLst>
            <a:ext uri="{FF2B5EF4-FFF2-40B4-BE49-F238E27FC236}">
              <a16:creationId xmlns:a16="http://schemas.microsoft.com/office/drawing/2014/main" id="{00000000-0008-0000-0600-000096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38100</xdr:colOff>
      <xdr:row>8</xdr:row>
      <xdr:rowOff>76200</xdr:rowOff>
    </xdr:from>
    <xdr:ext cx="295275" cy="200025"/>
    <xdr:sp macro="" textlink="">
      <xdr:nvSpPr>
        <xdr:cNvPr id="9879" name="Shape 9879">
          <a:extLst>
            <a:ext uri="{FF2B5EF4-FFF2-40B4-BE49-F238E27FC236}">
              <a16:creationId xmlns:a16="http://schemas.microsoft.com/office/drawing/2014/main" id="{00000000-0008-0000-0600-000097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10</xdr:row>
      <xdr:rowOff>76200</xdr:rowOff>
    </xdr:from>
    <xdr:ext cx="314325" cy="190500"/>
    <xdr:sp macro="" textlink="">
      <xdr:nvSpPr>
        <xdr:cNvPr id="9880" name="Shape 9880">
          <a:extLst>
            <a:ext uri="{FF2B5EF4-FFF2-40B4-BE49-F238E27FC236}">
              <a16:creationId xmlns:a16="http://schemas.microsoft.com/office/drawing/2014/main" id="{00000000-0008-0000-0600-000098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0755" y="51"/>
            </a:cxn>
            <a:cxn ang="0">
              <a:pos x="21904" y="6808"/>
            </a:cxn>
            <a:cxn ang="0">
              <a:pos x="61709" y="344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12</xdr:row>
      <xdr:rowOff>76200</xdr:rowOff>
    </xdr:from>
    <xdr:ext cx="295275" cy="190500"/>
    <xdr:sp macro="" textlink="">
      <xdr:nvSpPr>
        <xdr:cNvPr id="9881" name="Shape 9881">
          <a:extLst>
            <a:ext uri="{FF2B5EF4-FFF2-40B4-BE49-F238E27FC236}">
              <a16:creationId xmlns:a16="http://schemas.microsoft.com/office/drawing/2014/main" id="{00000000-0008-0000-0600-000099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28575</xdr:colOff>
      <xdr:row>14</xdr:row>
      <xdr:rowOff>57150</xdr:rowOff>
    </xdr:from>
    <xdr:ext cx="295275" cy="190500"/>
    <xdr:sp macro="" textlink="">
      <xdr:nvSpPr>
        <xdr:cNvPr id="9882" name="Shape 9882">
          <a:extLst>
            <a:ext uri="{FF2B5EF4-FFF2-40B4-BE49-F238E27FC236}">
              <a16:creationId xmlns:a16="http://schemas.microsoft.com/office/drawing/2014/main" id="{00000000-0008-0000-0600-00009A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16</xdr:col>
      <xdr:colOff>390525</xdr:colOff>
      <xdr:row>42</xdr:row>
      <xdr:rowOff>180975</xdr:rowOff>
    </xdr:from>
    <xdr:ext cx="104775" cy="171450"/>
    <xdr:sp macro="" textlink="">
      <xdr:nvSpPr>
        <xdr:cNvPr id="9928" name="Shape 9928">
          <a:extLst>
            <a:ext uri="{FF2B5EF4-FFF2-40B4-BE49-F238E27FC236}">
              <a16:creationId xmlns:a16="http://schemas.microsoft.com/office/drawing/2014/main" id="{00000000-0008-0000-0600-0000C826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13</xdr:col>
      <xdr:colOff>19050</xdr:colOff>
      <xdr:row>16</xdr:row>
      <xdr:rowOff>38100</xdr:rowOff>
    </xdr:from>
    <xdr:ext cx="295275" cy="190500"/>
    <xdr:sp macro="" textlink="">
      <xdr:nvSpPr>
        <xdr:cNvPr id="9883" name="Shape 9883">
          <a:extLst>
            <a:ext uri="{FF2B5EF4-FFF2-40B4-BE49-F238E27FC236}">
              <a16:creationId xmlns:a16="http://schemas.microsoft.com/office/drawing/2014/main" id="{00000000-0008-0000-0600-00009B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9525</xdr:colOff>
      <xdr:row>18</xdr:row>
      <xdr:rowOff>38100</xdr:rowOff>
    </xdr:from>
    <xdr:ext cx="314325" cy="190500"/>
    <xdr:sp macro="" textlink="">
      <xdr:nvSpPr>
        <xdr:cNvPr id="9884" name="Shape 9884">
          <a:extLst>
            <a:ext uri="{FF2B5EF4-FFF2-40B4-BE49-F238E27FC236}">
              <a16:creationId xmlns:a16="http://schemas.microsoft.com/office/drawing/2014/main" id="{00000000-0008-0000-0600-00009C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0755" y="51"/>
            </a:cxn>
            <a:cxn ang="0">
              <a:pos x="21904" y="6808"/>
            </a:cxn>
            <a:cxn ang="0">
              <a:pos x="61709" y="344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38100</xdr:colOff>
      <xdr:row>14</xdr:row>
      <xdr:rowOff>66675</xdr:rowOff>
    </xdr:from>
    <xdr:ext cx="314325" cy="190500"/>
    <xdr:sp macro="" textlink="">
      <xdr:nvSpPr>
        <xdr:cNvPr id="9885" name="Shape 9885">
          <a:extLst>
            <a:ext uri="{FF2B5EF4-FFF2-40B4-BE49-F238E27FC236}">
              <a16:creationId xmlns:a16="http://schemas.microsoft.com/office/drawing/2014/main" id="{00000000-0008-0000-0600-00009D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0755" y="51"/>
            </a:cxn>
            <a:cxn ang="0">
              <a:pos x="21904" y="6808"/>
            </a:cxn>
            <a:cxn ang="0">
              <a:pos x="61709" y="344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28575</xdr:colOff>
      <xdr:row>16</xdr:row>
      <xdr:rowOff>57150</xdr:rowOff>
    </xdr:from>
    <xdr:ext cx="295275" cy="190500"/>
    <xdr:sp macro="" textlink="">
      <xdr:nvSpPr>
        <xdr:cNvPr id="9886" name="Shape 9886">
          <a:extLst>
            <a:ext uri="{FF2B5EF4-FFF2-40B4-BE49-F238E27FC236}">
              <a16:creationId xmlns:a16="http://schemas.microsoft.com/office/drawing/2014/main" id="{00000000-0008-0000-0600-00009E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18</xdr:row>
      <xdr:rowOff>57150</xdr:rowOff>
    </xdr:from>
    <xdr:ext cx="314325" cy="190500"/>
    <xdr:sp macro="" textlink="">
      <xdr:nvSpPr>
        <xdr:cNvPr id="9887" name="Shape 9887">
          <a:extLst>
            <a:ext uri="{FF2B5EF4-FFF2-40B4-BE49-F238E27FC236}">
              <a16:creationId xmlns:a16="http://schemas.microsoft.com/office/drawing/2014/main" id="{00000000-0008-0000-0600-00009F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0755" y="51"/>
            </a:cxn>
            <a:cxn ang="0">
              <a:pos x="21904" y="6808"/>
            </a:cxn>
            <a:cxn ang="0">
              <a:pos x="61709" y="344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20</xdr:row>
      <xdr:rowOff>57150</xdr:rowOff>
    </xdr:from>
    <xdr:ext cx="295275" cy="190500"/>
    <xdr:sp macro="" textlink="">
      <xdr:nvSpPr>
        <xdr:cNvPr id="9888" name="Shape 9888">
          <a:extLst>
            <a:ext uri="{FF2B5EF4-FFF2-40B4-BE49-F238E27FC236}">
              <a16:creationId xmlns:a16="http://schemas.microsoft.com/office/drawing/2014/main" id="{00000000-0008-0000-0600-0000A0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22</xdr:row>
      <xdr:rowOff>66675</xdr:rowOff>
    </xdr:from>
    <xdr:ext cx="314325" cy="190500"/>
    <xdr:sp macro="" textlink="">
      <xdr:nvSpPr>
        <xdr:cNvPr id="9889" name="Shape 9889">
          <a:extLst>
            <a:ext uri="{FF2B5EF4-FFF2-40B4-BE49-F238E27FC236}">
              <a16:creationId xmlns:a16="http://schemas.microsoft.com/office/drawing/2014/main" id="{00000000-0008-0000-0600-0000A1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0755" y="51"/>
            </a:cxn>
            <a:cxn ang="0">
              <a:pos x="21904" y="6808"/>
            </a:cxn>
            <a:cxn ang="0">
              <a:pos x="61709" y="344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9525</xdr:colOff>
      <xdr:row>24</xdr:row>
      <xdr:rowOff>57150</xdr:rowOff>
    </xdr:from>
    <xdr:ext cx="295275" cy="190500"/>
    <xdr:sp macro="" textlink="">
      <xdr:nvSpPr>
        <xdr:cNvPr id="9890" name="Shape 9890">
          <a:extLst>
            <a:ext uri="{FF2B5EF4-FFF2-40B4-BE49-F238E27FC236}">
              <a16:creationId xmlns:a16="http://schemas.microsoft.com/office/drawing/2014/main" id="{00000000-0008-0000-0600-0000A2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28575</xdr:colOff>
      <xdr:row>20</xdr:row>
      <xdr:rowOff>66675</xdr:rowOff>
    </xdr:from>
    <xdr:ext cx="295275" cy="190500"/>
    <xdr:sp macro="" textlink="">
      <xdr:nvSpPr>
        <xdr:cNvPr id="9891" name="Shape 9891">
          <a:extLst>
            <a:ext uri="{FF2B5EF4-FFF2-40B4-BE49-F238E27FC236}">
              <a16:creationId xmlns:a16="http://schemas.microsoft.com/office/drawing/2014/main" id="{00000000-0008-0000-0600-0000A3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22</xdr:row>
      <xdr:rowOff>66675</xdr:rowOff>
    </xdr:from>
    <xdr:ext cx="295275" cy="190500"/>
    <xdr:sp macro="" textlink="">
      <xdr:nvSpPr>
        <xdr:cNvPr id="9892" name="Shape 9892">
          <a:extLst>
            <a:ext uri="{FF2B5EF4-FFF2-40B4-BE49-F238E27FC236}">
              <a16:creationId xmlns:a16="http://schemas.microsoft.com/office/drawing/2014/main" id="{00000000-0008-0000-0600-0000A4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9525</xdr:colOff>
      <xdr:row>24</xdr:row>
      <xdr:rowOff>57150</xdr:rowOff>
    </xdr:from>
    <xdr:ext cx="314325" cy="190500"/>
    <xdr:sp macro="" textlink="">
      <xdr:nvSpPr>
        <xdr:cNvPr id="9893" name="Shape 9893">
          <a:extLst>
            <a:ext uri="{FF2B5EF4-FFF2-40B4-BE49-F238E27FC236}">
              <a16:creationId xmlns:a16="http://schemas.microsoft.com/office/drawing/2014/main" id="{00000000-0008-0000-0600-0000A5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0755" y="51"/>
            </a:cxn>
            <a:cxn ang="0">
              <a:pos x="21904" y="6808"/>
            </a:cxn>
            <a:cxn ang="0">
              <a:pos x="61709" y="344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28575</xdr:colOff>
      <xdr:row>26</xdr:row>
      <xdr:rowOff>28575</xdr:rowOff>
    </xdr:from>
    <xdr:ext cx="295275" cy="190500"/>
    <xdr:sp macro="" textlink="">
      <xdr:nvSpPr>
        <xdr:cNvPr id="9894" name="Shape 9894">
          <a:extLst>
            <a:ext uri="{FF2B5EF4-FFF2-40B4-BE49-F238E27FC236}">
              <a16:creationId xmlns:a16="http://schemas.microsoft.com/office/drawing/2014/main" id="{00000000-0008-0000-0600-0000A6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9525</xdr:colOff>
      <xdr:row>28</xdr:row>
      <xdr:rowOff>28575</xdr:rowOff>
    </xdr:from>
    <xdr:ext cx="314325" cy="190500"/>
    <xdr:sp macro="" textlink="">
      <xdr:nvSpPr>
        <xdr:cNvPr id="9895" name="Shape 9895">
          <a:extLst>
            <a:ext uri="{FF2B5EF4-FFF2-40B4-BE49-F238E27FC236}">
              <a16:creationId xmlns:a16="http://schemas.microsoft.com/office/drawing/2014/main" id="{00000000-0008-0000-0600-0000A7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0755" y="51"/>
            </a:cxn>
            <a:cxn ang="0">
              <a:pos x="21904" y="6808"/>
            </a:cxn>
            <a:cxn ang="0">
              <a:pos x="61709" y="344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9525</xdr:colOff>
      <xdr:row>30</xdr:row>
      <xdr:rowOff>19050</xdr:rowOff>
    </xdr:from>
    <xdr:ext cx="295275" cy="190500"/>
    <xdr:sp macro="" textlink="">
      <xdr:nvSpPr>
        <xdr:cNvPr id="9896" name="Shape 9896">
          <a:extLst>
            <a:ext uri="{FF2B5EF4-FFF2-40B4-BE49-F238E27FC236}">
              <a16:creationId xmlns:a16="http://schemas.microsoft.com/office/drawing/2014/main" id="{00000000-0008-0000-0600-0000A8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38100</xdr:colOff>
      <xdr:row>26</xdr:row>
      <xdr:rowOff>57150</xdr:rowOff>
    </xdr:from>
    <xdr:ext cx="295275" cy="190500"/>
    <xdr:sp macro="" textlink="">
      <xdr:nvSpPr>
        <xdr:cNvPr id="9897" name="Shape 9897">
          <a:extLst>
            <a:ext uri="{FF2B5EF4-FFF2-40B4-BE49-F238E27FC236}">
              <a16:creationId xmlns:a16="http://schemas.microsoft.com/office/drawing/2014/main" id="{00000000-0008-0000-0600-0000A9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28</xdr:row>
      <xdr:rowOff>38100</xdr:rowOff>
    </xdr:from>
    <xdr:ext cx="314325" cy="190500"/>
    <xdr:sp macro="" textlink="">
      <xdr:nvSpPr>
        <xdr:cNvPr id="9898" name="Shape 9898">
          <a:extLst>
            <a:ext uri="{FF2B5EF4-FFF2-40B4-BE49-F238E27FC236}">
              <a16:creationId xmlns:a16="http://schemas.microsoft.com/office/drawing/2014/main" id="{00000000-0008-0000-0600-0000AA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0755" y="51"/>
            </a:cxn>
            <a:cxn ang="0">
              <a:pos x="21904" y="6808"/>
            </a:cxn>
            <a:cxn ang="0">
              <a:pos x="61709" y="344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30</xdr:row>
      <xdr:rowOff>38100</xdr:rowOff>
    </xdr:from>
    <xdr:ext cx="295275" cy="190500"/>
    <xdr:sp macro="" textlink="">
      <xdr:nvSpPr>
        <xdr:cNvPr id="9899" name="Shape 9899">
          <a:extLst>
            <a:ext uri="{FF2B5EF4-FFF2-40B4-BE49-F238E27FC236}">
              <a16:creationId xmlns:a16="http://schemas.microsoft.com/office/drawing/2014/main" id="{00000000-0008-0000-0600-0000AB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32</xdr:row>
      <xdr:rowOff>57150</xdr:rowOff>
    </xdr:from>
    <xdr:ext cx="314325" cy="190500"/>
    <xdr:sp macro="" textlink="">
      <xdr:nvSpPr>
        <xdr:cNvPr id="9900" name="Shape 9900">
          <a:extLst>
            <a:ext uri="{FF2B5EF4-FFF2-40B4-BE49-F238E27FC236}">
              <a16:creationId xmlns:a16="http://schemas.microsoft.com/office/drawing/2014/main" id="{00000000-0008-0000-0600-0000AC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0755" y="51"/>
            </a:cxn>
            <a:cxn ang="0">
              <a:pos x="21904" y="6808"/>
            </a:cxn>
            <a:cxn ang="0">
              <a:pos x="61709" y="344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28575</xdr:colOff>
      <xdr:row>34</xdr:row>
      <xdr:rowOff>57150</xdr:rowOff>
    </xdr:from>
    <xdr:ext cx="295275" cy="190500"/>
    <xdr:sp macro="" textlink="">
      <xdr:nvSpPr>
        <xdr:cNvPr id="9901" name="Shape 9901">
          <a:extLst>
            <a:ext uri="{FF2B5EF4-FFF2-40B4-BE49-F238E27FC236}">
              <a16:creationId xmlns:a16="http://schemas.microsoft.com/office/drawing/2014/main" id="{00000000-0008-0000-0600-0000AD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9525</xdr:colOff>
      <xdr:row>36</xdr:row>
      <xdr:rowOff>57150</xdr:rowOff>
    </xdr:from>
    <xdr:ext cx="314325" cy="190500"/>
    <xdr:sp macro="" textlink="">
      <xdr:nvSpPr>
        <xdr:cNvPr id="9902" name="Shape 9902">
          <a:extLst>
            <a:ext uri="{FF2B5EF4-FFF2-40B4-BE49-F238E27FC236}">
              <a16:creationId xmlns:a16="http://schemas.microsoft.com/office/drawing/2014/main" id="{00000000-0008-0000-0600-0000AE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0755" y="51"/>
            </a:cxn>
            <a:cxn ang="0">
              <a:pos x="21904" y="6808"/>
            </a:cxn>
            <a:cxn ang="0">
              <a:pos x="61709" y="344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28575</xdr:colOff>
      <xdr:row>32</xdr:row>
      <xdr:rowOff>66675</xdr:rowOff>
    </xdr:from>
    <xdr:ext cx="314325" cy="190500"/>
    <xdr:sp macro="" textlink="">
      <xdr:nvSpPr>
        <xdr:cNvPr id="9903" name="Shape 9903">
          <a:extLst>
            <a:ext uri="{FF2B5EF4-FFF2-40B4-BE49-F238E27FC236}">
              <a16:creationId xmlns:a16="http://schemas.microsoft.com/office/drawing/2014/main" id="{00000000-0008-0000-0600-0000AF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0755" y="51"/>
            </a:cxn>
            <a:cxn ang="0">
              <a:pos x="21904" y="6808"/>
            </a:cxn>
            <a:cxn ang="0">
              <a:pos x="61709" y="344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34</xdr:row>
      <xdr:rowOff>57150</xdr:rowOff>
    </xdr:from>
    <xdr:ext cx="295275" cy="190500"/>
    <xdr:sp macro="" textlink="">
      <xdr:nvSpPr>
        <xdr:cNvPr id="9904" name="Shape 9904">
          <a:extLst>
            <a:ext uri="{FF2B5EF4-FFF2-40B4-BE49-F238E27FC236}">
              <a16:creationId xmlns:a16="http://schemas.microsoft.com/office/drawing/2014/main" id="{00000000-0008-0000-0600-0000B0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36</xdr:row>
      <xdr:rowOff>57150</xdr:rowOff>
    </xdr:from>
    <xdr:ext cx="295275" cy="190500"/>
    <xdr:sp macro="" textlink="">
      <xdr:nvSpPr>
        <xdr:cNvPr id="9905" name="Shape 9905">
          <a:extLst>
            <a:ext uri="{FF2B5EF4-FFF2-40B4-BE49-F238E27FC236}">
              <a16:creationId xmlns:a16="http://schemas.microsoft.com/office/drawing/2014/main" id="{00000000-0008-0000-0600-0000B1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28575</xdr:colOff>
      <xdr:row>38</xdr:row>
      <xdr:rowOff>28575</xdr:rowOff>
    </xdr:from>
    <xdr:ext cx="295275" cy="190500"/>
    <xdr:sp macro="" textlink="">
      <xdr:nvSpPr>
        <xdr:cNvPr id="9906" name="Shape 9906">
          <a:extLst>
            <a:ext uri="{FF2B5EF4-FFF2-40B4-BE49-F238E27FC236}">
              <a16:creationId xmlns:a16="http://schemas.microsoft.com/office/drawing/2014/main" id="{00000000-0008-0000-0600-0000B2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19050</xdr:colOff>
      <xdr:row>40</xdr:row>
      <xdr:rowOff>19050</xdr:rowOff>
    </xdr:from>
    <xdr:ext cx="295275" cy="190500"/>
    <xdr:sp macro="" textlink="">
      <xdr:nvSpPr>
        <xdr:cNvPr id="9907" name="Shape 9907">
          <a:extLst>
            <a:ext uri="{FF2B5EF4-FFF2-40B4-BE49-F238E27FC236}">
              <a16:creationId xmlns:a16="http://schemas.microsoft.com/office/drawing/2014/main" id="{00000000-0008-0000-0600-0000B3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13</xdr:col>
      <xdr:colOff>9525</xdr:colOff>
      <xdr:row>42</xdr:row>
      <xdr:rowOff>19050</xdr:rowOff>
    </xdr:from>
    <xdr:ext cx="295275" cy="190500"/>
    <xdr:sp macro="" textlink="">
      <xdr:nvSpPr>
        <xdr:cNvPr id="9908" name="Shape 9908">
          <a:extLst>
            <a:ext uri="{FF2B5EF4-FFF2-40B4-BE49-F238E27FC236}">
              <a16:creationId xmlns:a16="http://schemas.microsoft.com/office/drawing/2014/main" id="{00000000-0008-0000-0600-0000B4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38100</xdr:colOff>
      <xdr:row>38</xdr:row>
      <xdr:rowOff>38100</xdr:rowOff>
    </xdr:from>
    <xdr:ext cx="314325" cy="190500"/>
    <xdr:sp macro="" textlink="">
      <xdr:nvSpPr>
        <xdr:cNvPr id="9909" name="Shape 9909">
          <a:extLst>
            <a:ext uri="{FF2B5EF4-FFF2-40B4-BE49-F238E27FC236}">
              <a16:creationId xmlns:a16="http://schemas.microsoft.com/office/drawing/2014/main" id="{00000000-0008-0000-0600-0000B5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0755" y="51"/>
            </a:cxn>
            <a:cxn ang="0">
              <a:pos x="21904" y="6808"/>
            </a:cxn>
            <a:cxn ang="0">
              <a:pos x="61709" y="344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28575</xdr:colOff>
      <xdr:row>40</xdr:row>
      <xdr:rowOff>38100</xdr:rowOff>
    </xdr:from>
    <xdr:ext cx="295275" cy="190500"/>
    <xdr:sp macro="" textlink="">
      <xdr:nvSpPr>
        <xdr:cNvPr id="9910" name="Shape 9910">
          <a:extLst>
            <a:ext uri="{FF2B5EF4-FFF2-40B4-BE49-F238E27FC236}">
              <a16:creationId xmlns:a16="http://schemas.microsoft.com/office/drawing/2014/main" id="{00000000-0008-0000-0600-0000B6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47764" y="44"/>
            </a:cxn>
            <a:cxn ang="0">
              <a:pos x="47076" y="5916"/>
            </a:cxn>
            <a:cxn ang="0">
              <a:pos x="12130" y="299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18</xdr:col>
      <xdr:colOff>19050</xdr:colOff>
      <xdr:row>42</xdr:row>
      <xdr:rowOff>28575</xdr:rowOff>
    </xdr:from>
    <xdr:ext cx="314325" cy="190500"/>
    <xdr:sp macro="" textlink="">
      <xdr:nvSpPr>
        <xdr:cNvPr id="9911" name="Shape 9911">
          <a:extLst>
            <a:ext uri="{FF2B5EF4-FFF2-40B4-BE49-F238E27FC236}">
              <a16:creationId xmlns:a16="http://schemas.microsoft.com/office/drawing/2014/main" id="{00000000-0008-0000-0600-0000B7260000}"/>
            </a:ext>
          </a:extLst>
        </xdr:cNvPr>
        <xdr:cNvSpPr/>
      </xdr:nvSpPr>
      <xdr:spPr>
        <a:xfrm>
          <a:off x="0" y="0"/>
          <a:ext cx="1" cy="1"/>
        </a:xfrm>
        <a:custGeom>
          <a:avLst/>
          <a:gdLst/>
          <a:ahLst/>
          <a:cxnLst>
            <a:cxn ang="0">
              <a:pos x="30755" y="51"/>
            </a:cxn>
            <a:cxn ang="0">
              <a:pos x="21904" y="6808"/>
            </a:cxn>
            <a:cxn ang="0">
              <a:pos x="61709" y="3441"/>
            </a:cxn>
          </a:cxnLst>
          <a:rect l="0" t="0" r="43200" b="26102"/>
          <a:pathLst>
            <a:path w="43200" h="26102" fill="none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</a:path>
            <a:path w="43200" h="26102" stroke="0">
              <a:moveTo>
                <a:pt x="322" y="25320"/>
              </a:moveTo>
              <a:cubicBezTo>
                <a:pt x="107" y="24091"/>
                <a:pt x="0" y="22847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3113"/>
                <a:pt x="43041" y="24622"/>
                <a:pt x="42725" y="26101"/>
              </a:cubicBezTo>
              <a:lnTo>
                <a:pt x="21600" y="21600"/>
              </a:lnTo>
              <a:lnTo>
                <a:pt x="322" y="25320"/>
              </a:lnTo>
              <a:close/>
            </a:path>
          </a:pathLst>
        </a:custGeom>
        <a:noFill/>
        <a:ln w="3175" cap="flat" cmpd="sng" algn="ctr">
          <a:solidFill>
            <a:srgbClr val="000000">
              <a:alpha val="100000"/>
            </a:srgbClr>
          </a:solidFill>
          <a:round/>
          <a:headEnd/>
          <a:tailEnd/>
        </a:ln>
      </xdr:spPr>
    </xdr:sp>
    <xdr:clientData fLocksWithSheet="0"/>
  </xdr:oneCellAnchor>
  <xdr:oneCellAnchor>
    <xdr:from>
      <xdr:col>15</xdr:col>
      <xdr:colOff>400050</xdr:colOff>
      <xdr:row>10</xdr:row>
      <xdr:rowOff>180975</xdr:rowOff>
    </xdr:from>
    <xdr:ext cx="114300" cy="161925"/>
    <xdr:sp macro="" textlink="">
      <xdr:nvSpPr>
        <xdr:cNvPr id="9912" name="Shape 9912">
          <a:extLst>
            <a:ext uri="{FF2B5EF4-FFF2-40B4-BE49-F238E27FC236}">
              <a16:creationId xmlns:a16="http://schemas.microsoft.com/office/drawing/2014/main" id="{00000000-0008-0000-0600-0000B826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361950</xdr:colOff>
      <xdr:row>12</xdr:row>
      <xdr:rowOff>171450</xdr:rowOff>
    </xdr:from>
    <xdr:ext cx="104775" cy="180975"/>
    <xdr:sp macro="" textlink="">
      <xdr:nvSpPr>
        <xdr:cNvPr id="9913" name="Shape 9913">
          <a:extLst>
            <a:ext uri="{FF2B5EF4-FFF2-40B4-BE49-F238E27FC236}">
              <a16:creationId xmlns:a16="http://schemas.microsoft.com/office/drawing/2014/main" id="{00000000-0008-0000-0600-0000B926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14</xdr:col>
      <xdr:colOff>400050</xdr:colOff>
      <xdr:row>14</xdr:row>
      <xdr:rowOff>190500</xdr:rowOff>
    </xdr:from>
    <xdr:ext cx="104775" cy="171450"/>
    <xdr:sp macro="" textlink="">
      <xdr:nvSpPr>
        <xdr:cNvPr id="9914" name="Shape 9914">
          <a:extLst>
            <a:ext uri="{FF2B5EF4-FFF2-40B4-BE49-F238E27FC236}">
              <a16:creationId xmlns:a16="http://schemas.microsoft.com/office/drawing/2014/main" id="{00000000-0008-0000-0600-0000BA26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400050</xdr:colOff>
      <xdr:row>16</xdr:row>
      <xdr:rowOff>190500</xdr:rowOff>
    </xdr:from>
    <xdr:ext cx="104775" cy="171450"/>
    <xdr:sp macro="" textlink="">
      <xdr:nvSpPr>
        <xdr:cNvPr id="9915" name="Shape 9915">
          <a:extLst>
            <a:ext uri="{FF2B5EF4-FFF2-40B4-BE49-F238E27FC236}">
              <a16:creationId xmlns:a16="http://schemas.microsoft.com/office/drawing/2014/main" id="{00000000-0008-0000-0600-0000BB26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361950</xdr:colOff>
      <xdr:row>18</xdr:row>
      <xdr:rowOff>190500</xdr:rowOff>
    </xdr:from>
    <xdr:ext cx="104775" cy="171450"/>
    <xdr:sp macro="" textlink="">
      <xdr:nvSpPr>
        <xdr:cNvPr id="9916" name="Shape 9916">
          <a:extLst>
            <a:ext uri="{FF2B5EF4-FFF2-40B4-BE49-F238E27FC236}">
              <a16:creationId xmlns:a16="http://schemas.microsoft.com/office/drawing/2014/main" id="{00000000-0008-0000-0600-0000BC26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14</xdr:col>
      <xdr:colOff>400050</xdr:colOff>
      <xdr:row>20</xdr:row>
      <xdr:rowOff>190500</xdr:rowOff>
    </xdr:from>
    <xdr:ext cx="104775" cy="171450"/>
    <xdr:sp macro="" textlink="">
      <xdr:nvSpPr>
        <xdr:cNvPr id="9917" name="Shape 9917">
          <a:extLst>
            <a:ext uri="{FF2B5EF4-FFF2-40B4-BE49-F238E27FC236}">
              <a16:creationId xmlns:a16="http://schemas.microsoft.com/office/drawing/2014/main" id="{00000000-0008-0000-0600-0000BD26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400050</xdr:colOff>
      <xdr:row>22</xdr:row>
      <xdr:rowOff>190500</xdr:rowOff>
    </xdr:from>
    <xdr:ext cx="104775" cy="171450"/>
    <xdr:sp macro="" textlink="">
      <xdr:nvSpPr>
        <xdr:cNvPr id="9918" name="Shape 9918">
          <a:extLst>
            <a:ext uri="{FF2B5EF4-FFF2-40B4-BE49-F238E27FC236}">
              <a16:creationId xmlns:a16="http://schemas.microsoft.com/office/drawing/2014/main" id="{00000000-0008-0000-0600-0000BE26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361950</xdr:colOff>
      <xdr:row>24</xdr:row>
      <xdr:rowOff>190500</xdr:rowOff>
    </xdr:from>
    <xdr:ext cx="104775" cy="171450"/>
    <xdr:sp macro="" textlink="">
      <xdr:nvSpPr>
        <xdr:cNvPr id="9919" name="Shape 9919">
          <a:extLst>
            <a:ext uri="{FF2B5EF4-FFF2-40B4-BE49-F238E27FC236}">
              <a16:creationId xmlns:a16="http://schemas.microsoft.com/office/drawing/2014/main" id="{00000000-0008-0000-0600-0000BF26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14</xdr:col>
      <xdr:colOff>390525</xdr:colOff>
      <xdr:row>26</xdr:row>
      <xdr:rowOff>200025</xdr:rowOff>
    </xdr:from>
    <xdr:ext cx="104775" cy="180975"/>
    <xdr:sp macro="" textlink="">
      <xdr:nvSpPr>
        <xdr:cNvPr id="9920" name="Shape 9920">
          <a:extLst>
            <a:ext uri="{FF2B5EF4-FFF2-40B4-BE49-F238E27FC236}">
              <a16:creationId xmlns:a16="http://schemas.microsoft.com/office/drawing/2014/main" id="{00000000-0008-0000-0600-0000C026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390525</xdr:colOff>
      <xdr:row>28</xdr:row>
      <xdr:rowOff>209550</xdr:rowOff>
    </xdr:from>
    <xdr:ext cx="114300" cy="171450"/>
    <xdr:sp macro="" textlink="">
      <xdr:nvSpPr>
        <xdr:cNvPr id="9921" name="Shape 9921">
          <a:extLst>
            <a:ext uri="{FF2B5EF4-FFF2-40B4-BE49-F238E27FC236}">
              <a16:creationId xmlns:a16="http://schemas.microsoft.com/office/drawing/2014/main" id="{00000000-0008-0000-0600-0000C126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381000</xdr:colOff>
      <xdr:row>30</xdr:row>
      <xdr:rowOff>190500</xdr:rowOff>
    </xdr:from>
    <xdr:ext cx="104775" cy="161925"/>
    <xdr:sp macro="" textlink="">
      <xdr:nvSpPr>
        <xdr:cNvPr id="9922" name="Shape 9922">
          <a:extLst>
            <a:ext uri="{FF2B5EF4-FFF2-40B4-BE49-F238E27FC236}">
              <a16:creationId xmlns:a16="http://schemas.microsoft.com/office/drawing/2014/main" id="{00000000-0008-0000-0600-0000C226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14</xdr:col>
      <xdr:colOff>371475</xdr:colOff>
      <xdr:row>32</xdr:row>
      <xdr:rowOff>190500</xdr:rowOff>
    </xdr:from>
    <xdr:ext cx="104775" cy="171450"/>
    <xdr:sp macro="" textlink="">
      <xdr:nvSpPr>
        <xdr:cNvPr id="9923" name="Shape 9923">
          <a:extLst>
            <a:ext uri="{FF2B5EF4-FFF2-40B4-BE49-F238E27FC236}">
              <a16:creationId xmlns:a16="http://schemas.microsoft.com/office/drawing/2014/main" id="{00000000-0008-0000-0600-0000C326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390525</xdr:colOff>
      <xdr:row>34</xdr:row>
      <xdr:rowOff>190500</xdr:rowOff>
    </xdr:from>
    <xdr:ext cx="104775" cy="180975"/>
    <xdr:sp macro="" textlink="">
      <xdr:nvSpPr>
        <xdr:cNvPr id="9924" name="Shape 9924">
          <a:extLst>
            <a:ext uri="{FF2B5EF4-FFF2-40B4-BE49-F238E27FC236}">
              <a16:creationId xmlns:a16="http://schemas.microsoft.com/office/drawing/2014/main" id="{00000000-0008-0000-0600-0000C426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16</xdr:col>
      <xdr:colOff>390525</xdr:colOff>
      <xdr:row>36</xdr:row>
      <xdr:rowOff>171450</xdr:rowOff>
    </xdr:from>
    <xdr:ext cx="104775" cy="180975"/>
    <xdr:sp macro="" textlink="">
      <xdr:nvSpPr>
        <xdr:cNvPr id="9925" name="Shape 9925">
          <a:extLst>
            <a:ext uri="{FF2B5EF4-FFF2-40B4-BE49-F238E27FC236}">
              <a16:creationId xmlns:a16="http://schemas.microsoft.com/office/drawing/2014/main" id="{00000000-0008-0000-0600-0000C526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14</xdr:col>
      <xdr:colOff>371475</xdr:colOff>
      <xdr:row>38</xdr:row>
      <xdr:rowOff>209550</xdr:rowOff>
    </xdr:from>
    <xdr:ext cx="104775" cy="171450"/>
    <xdr:sp macro="" textlink="">
      <xdr:nvSpPr>
        <xdr:cNvPr id="9926" name="Shape 9926">
          <a:extLst>
            <a:ext uri="{FF2B5EF4-FFF2-40B4-BE49-F238E27FC236}">
              <a16:creationId xmlns:a16="http://schemas.microsoft.com/office/drawing/2014/main" id="{00000000-0008-0000-0600-0000C626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15</xdr:col>
      <xdr:colOff>371475</xdr:colOff>
      <xdr:row>40</xdr:row>
      <xdr:rowOff>209550</xdr:rowOff>
    </xdr:from>
    <xdr:ext cx="104775" cy="180975"/>
    <xdr:sp macro="" textlink="">
      <xdr:nvSpPr>
        <xdr:cNvPr id="9927" name="Shape 9927">
          <a:extLst>
            <a:ext uri="{FF2B5EF4-FFF2-40B4-BE49-F238E27FC236}">
              <a16:creationId xmlns:a16="http://schemas.microsoft.com/office/drawing/2014/main" id="{00000000-0008-0000-0600-0000C7260000}"/>
            </a:ext>
          </a:extLst>
        </xdr:cNvPr>
        <xdr:cNvSpPr/>
      </xdr:nvSpPr>
      <xdr:spPr>
        <a:xfrm>
          <a:off x="0" y="0"/>
          <a:ext cx="1" cy="1"/>
        </a:xfrm>
        <a:prstGeom prst="flowChartConnector">
          <a:avLst/>
        </a:prstGeom>
        <a:solidFill>
          <a:srgbClr val="000000"/>
        </a:solidFill>
        <a:ln w="317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"/>
  <sheetViews>
    <sheetView tabSelected="1" topLeftCell="A2" workbookViewId="0">
      <selection activeCell="F7" sqref="F7:F8"/>
    </sheetView>
  </sheetViews>
  <sheetFormatPr defaultColWidth="12.67578125" defaultRowHeight="15" customHeight="1" x14ac:dyDescent="0.15"/>
  <cols>
    <col min="1" max="1" width="16.98828125" customWidth="1"/>
    <col min="2" max="2" width="29.9375" customWidth="1"/>
    <col min="3" max="3" width="12.26953125" customWidth="1"/>
    <col min="4" max="6" width="11.59375" customWidth="1"/>
    <col min="7" max="9" width="16.85546875" customWidth="1"/>
    <col min="10" max="10" width="14.83203125" customWidth="1"/>
    <col min="11" max="11" width="13.21484375" customWidth="1"/>
    <col min="12" max="12" width="12.67578125" customWidth="1"/>
    <col min="13" max="13" width="2.6953125" customWidth="1"/>
    <col min="14" max="14" width="4.1796875" customWidth="1"/>
    <col min="15" max="15" width="3.234375" customWidth="1"/>
    <col min="16" max="17" width="3.37109375" customWidth="1"/>
    <col min="18" max="18" width="3.234375" customWidth="1"/>
    <col min="19" max="19" width="4.1796875" customWidth="1"/>
    <col min="20" max="20" width="2.6953125" customWidth="1"/>
    <col min="21" max="21" width="12.9453125" customWidth="1"/>
    <col min="22" max="23" width="15.37109375" customWidth="1"/>
    <col min="24" max="26" width="16.85546875" customWidth="1"/>
    <col min="27" max="27" width="13.34765625" customWidth="1"/>
    <col min="28" max="28" width="13.078125" customWidth="1"/>
    <col min="29" max="29" width="15.23828125" customWidth="1"/>
    <col min="30" max="30" width="12.26953125" customWidth="1"/>
    <col min="31" max="31" width="26.69921875" customWidth="1"/>
    <col min="32" max="32" width="16.31640625" customWidth="1"/>
  </cols>
  <sheetData>
    <row r="1" spans="1:32" ht="78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1" customHeight="1" x14ac:dyDescent="0.4">
      <c r="A2" s="105" t="s">
        <v>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7"/>
    </row>
    <row r="3" spans="1:32" ht="27.75" customHeight="1" x14ac:dyDescent="0.25">
      <c r="A3" s="2"/>
      <c r="B3" s="3" t="s">
        <v>1</v>
      </c>
      <c r="C3" s="4"/>
      <c r="D3" s="5" t="s">
        <v>2</v>
      </c>
      <c r="E3" s="5"/>
      <c r="F3" s="5"/>
      <c r="G3" s="5"/>
      <c r="H3" s="5"/>
      <c r="I3" s="6"/>
      <c r="J3" s="108" t="s">
        <v>3</v>
      </c>
      <c r="K3" s="102"/>
      <c r="L3" s="102"/>
      <c r="M3" s="101" t="s">
        <v>4</v>
      </c>
      <c r="N3" s="102"/>
      <c r="O3" s="102"/>
      <c r="P3" s="102"/>
      <c r="Q3" s="102"/>
      <c r="R3" s="7"/>
      <c r="S3" s="7"/>
      <c r="T3" s="7"/>
      <c r="U3" s="7"/>
      <c r="V3" s="7"/>
      <c r="W3" s="6"/>
      <c r="X3" s="6"/>
      <c r="Y3" s="8"/>
      <c r="Z3" s="101" t="s">
        <v>5</v>
      </c>
      <c r="AA3" s="102"/>
      <c r="AB3" s="102"/>
      <c r="AC3" s="102"/>
      <c r="AD3" s="99" t="s">
        <v>6</v>
      </c>
      <c r="AE3" s="100"/>
      <c r="AF3" s="9"/>
    </row>
    <row r="4" spans="1:32" ht="31.5" customHeight="1" x14ac:dyDescent="0.25">
      <c r="A4" s="10"/>
      <c r="B4" s="11" t="s">
        <v>7</v>
      </c>
      <c r="C4" s="4"/>
      <c r="D4" s="12" t="s">
        <v>8</v>
      </c>
      <c r="E4" s="12"/>
      <c r="F4" s="12"/>
      <c r="G4" s="12"/>
      <c r="H4" s="12"/>
      <c r="I4" s="4"/>
      <c r="J4" s="86" t="s">
        <v>9</v>
      </c>
      <c r="K4" s="87"/>
      <c r="L4" s="87"/>
      <c r="M4" s="103" t="s">
        <v>10</v>
      </c>
      <c r="N4" s="104"/>
      <c r="O4" s="104"/>
      <c r="P4" s="104"/>
      <c r="Q4" s="104"/>
      <c r="R4" s="13"/>
      <c r="S4" s="13"/>
      <c r="T4" s="13"/>
      <c r="U4" s="13"/>
      <c r="V4" s="13"/>
      <c r="W4" s="4"/>
      <c r="X4" s="4"/>
      <c r="Y4" s="14"/>
      <c r="Z4" s="109" t="s">
        <v>11</v>
      </c>
      <c r="AA4" s="87"/>
      <c r="AB4" s="87"/>
      <c r="AC4" s="87"/>
      <c r="AD4" s="12" t="s">
        <v>12</v>
      </c>
      <c r="AE4" s="12"/>
      <c r="AF4" s="15"/>
    </row>
    <row r="5" spans="1:32" ht="31.5" customHeight="1" x14ac:dyDescent="0.25">
      <c r="A5" s="10"/>
      <c r="B5" s="11" t="s">
        <v>13</v>
      </c>
      <c r="C5" s="4"/>
      <c r="D5" s="12" t="s">
        <v>14</v>
      </c>
      <c r="E5" s="12"/>
      <c r="F5" s="12"/>
      <c r="G5" s="12"/>
      <c r="H5" s="12"/>
      <c r="I5" s="4"/>
      <c r="J5" s="4"/>
      <c r="K5" s="4"/>
      <c r="L5" s="14"/>
      <c r="M5" s="14"/>
      <c r="N5" s="14"/>
      <c r="O5" s="14"/>
      <c r="P5" s="14"/>
      <c r="Q5" s="4"/>
      <c r="R5" s="4"/>
      <c r="S5" s="4"/>
      <c r="T5" s="4"/>
      <c r="U5" s="14"/>
      <c r="V5" s="4"/>
      <c r="W5" s="4"/>
      <c r="X5" s="14"/>
      <c r="Y5" s="14"/>
      <c r="Z5" s="4"/>
      <c r="AA5" s="4"/>
      <c r="AB5" s="4"/>
      <c r="AC5" s="14"/>
      <c r="AD5" s="14"/>
      <c r="AE5" s="16"/>
      <c r="AF5" s="15"/>
    </row>
    <row r="6" spans="1:32" ht="29.25" customHeight="1" x14ac:dyDescent="0.25">
      <c r="A6" s="17"/>
      <c r="B6" s="18"/>
      <c r="C6" s="19"/>
      <c r="D6" s="19"/>
      <c r="E6" s="19"/>
      <c r="F6" s="19"/>
      <c r="G6" s="19"/>
      <c r="H6" s="19"/>
      <c r="I6" s="20"/>
      <c r="J6" s="20"/>
      <c r="K6" s="20"/>
      <c r="L6" s="20"/>
      <c r="M6" s="20"/>
      <c r="N6" s="20"/>
      <c r="O6" s="20"/>
      <c r="P6" s="20"/>
      <c r="Q6" s="19"/>
      <c r="R6" s="19"/>
      <c r="S6" s="19"/>
      <c r="T6" s="19"/>
      <c r="U6" s="20"/>
      <c r="V6" s="20"/>
      <c r="W6" s="20"/>
      <c r="X6" s="19"/>
      <c r="Y6" s="19"/>
      <c r="Z6" s="20"/>
      <c r="AA6" s="19"/>
      <c r="AB6" s="19"/>
      <c r="AC6" s="19"/>
      <c r="AD6" s="19"/>
      <c r="AE6" s="20"/>
      <c r="AF6" s="21"/>
    </row>
    <row r="7" spans="1:32" ht="63" customHeight="1" x14ac:dyDescent="0.25">
      <c r="A7" s="112" t="s">
        <v>15</v>
      </c>
      <c r="B7" s="22" t="s">
        <v>16</v>
      </c>
      <c r="C7" s="113" t="s">
        <v>17</v>
      </c>
      <c r="D7" s="107"/>
      <c r="E7" s="118" t="s">
        <v>18</v>
      </c>
      <c r="F7" s="115" t="s">
        <v>19</v>
      </c>
      <c r="G7" s="113" t="s">
        <v>20</v>
      </c>
      <c r="H7" s="106"/>
      <c r="I7" s="107"/>
      <c r="J7" s="114" t="s">
        <v>21</v>
      </c>
      <c r="K7" s="117"/>
      <c r="L7" s="110" t="s">
        <v>22</v>
      </c>
      <c r="M7" s="120" t="s">
        <v>23</v>
      </c>
      <c r="N7" s="102"/>
      <c r="O7" s="102"/>
      <c r="P7" s="102"/>
      <c r="Q7" s="102"/>
      <c r="R7" s="102"/>
      <c r="S7" s="102"/>
      <c r="T7" s="89"/>
      <c r="U7" s="110" t="s">
        <v>22</v>
      </c>
      <c r="V7" s="114" t="s">
        <v>21</v>
      </c>
      <c r="W7" s="107"/>
      <c r="X7" s="113" t="s">
        <v>20</v>
      </c>
      <c r="Y7" s="106"/>
      <c r="Z7" s="107"/>
      <c r="AA7" s="115" t="s">
        <v>19</v>
      </c>
      <c r="AB7" s="115" t="s">
        <v>18</v>
      </c>
      <c r="AC7" s="113" t="s">
        <v>17</v>
      </c>
      <c r="AD7" s="107"/>
      <c r="AE7" s="22" t="s">
        <v>16</v>
      </c>
      <c r="AF7" s="112" t="s">
        <v>15</v>
      </c>
    </row>
    <row r="8" spans="1:32" ht="53.25" customHeight="1" x14ac:dyDescent="0.15">
      <c r="A8" s="111"/>
      <c r="B8" s="23" t="s">
        <v>24</v>
      </c>
      <c r="C8" s="23" t="s">
        <v>25</v>
      </c>
      <c r="D8" s="23" t="s">
        <v>26</v>
      </c>
      <c r="E8" s="119"/>
      <c r="F8" s="116"/>
      <c r="G8" s="24" t="s">
        <v>27</v>
      </c>
      <c r="H8" s="25" t="s">
        <v>28</v>
      </c>
      <c r="I8" s="26" t="s">
        <v>29</v>
      </c>
      <c r="J8" s="23" t="s">
        <v>30</v>
      </c>
      <c r="K8" s="23" t="s">
        <v>31</v>
      </c>
      <c r="L8" s="111"/>
      <c r="M8" s="27"/>
      <c r="N8" s="28"/>
      <c r="O8" s="29" t="s">
        <v>27</v>
      </c>
      <c r="P8" s="30" t="s">
        <v>28</v>
      </c>
      <c r="Q8" s="30" t="s">
        <v>29</v>
      </c>
      <c r="R8" s="1"/>
      <c r="S8" s="28"/>
      <c r="T8" s="31"/>
      <c r="U8" s="111"/>
      <c r="V8" s="23" t="s">
        <v>31</v>
      </c>
      <c r="W8" s="23" t="s">
        <v>30</v>
      </c>
      <c r="X8" s="24" t="s">
        <v>27</v>
      </c>
      <c r="Y8" s="25" t="s">
        <v>28</v>
      </c>
      <c r="Z8" s="26" t="s">
        <v>29</v>
      </c>
      <c r="AA8" s="116"/>
      <c r="AB8" s="116"/>
      <c r="AC8" s="23" t="s">
        <v>26</v>
      </c>
      <c r="AD8" s="23" t="s">
        <v>25</v>
      </c>
      <c r="AE8" s="32" t="s">
        <v>24</v>
      </c>
      <c r="AF8" s="111"/>
    </row>
    <row r="9" spans="1:32" ht="21.75" customHeight="1" x14ac:dyDescent="0.15">
      <c r="A9" s="73">
        <v>20</v>
      </c>
      <c r="B9" s="74" t="s">
        <v>32</v>
      </c>
      <c r="C9" s="75">
        <v>1</v>
      </c>
      <c r="D9" s="75">
        <v>16</v>
      </c>
      <c r="E9" s="75">
        <f>16+3</f>
        <v>19</v>
      </c>
      <c r="F9" s="75">
        <v>60</v>
      </c>
      <c r="G9" s="121">
        <f>E9*F9</f>
        <v>1140</v>
      </c>
      <c r="H9" s="80"/>
      <c r="I9" s="80"/>
      <c r="J9" s="75">
        <v>2.5</v>
      </c>
      <c r="K9" s="75">
        <v>2.5</v>
      </c>
      <c r="L9" s="123">
        <v>1</v>
      </c>
      <c r="M9" s="33"/>
      <c r="N9" s="34"/>
      <c r="O9" s="35"/>
      <c r="P9" s="36"/>
      <c r="Q9" s="35"/>
      <c r="R9" s="37"/>
      <c r="S9" s="34"/>
      <c r="T9" s="33"/>
      <c r="U9" s="122">
        <v>2</v>
      </c>
      <c r="V9" s="75">
        <v>2.5</v>
      </c>
      <c r="W9" s="75">
        <v>2.5</v>
      </c>
      <c r="X9" s="121">
        <f>AA9*AB9</f>
        <v>1140</v>
      </c>
      <c r="Y9" s="80"/>
      <c r="Z9" s="80"/>
      <c r="AA9" s="75">
        <v>60</v>
      </c>
      <c r="AB9" s="75">
        <v>19</v>
      </c>
      <c r="AC9" s="75">
        <v>16</v>
      </c>
      <c r="AD9" s="75">
        <v>1</v>
      </c>
      <c r="AE9" s="74" t="s">
        <v>33</v>
      </c>
      <c r="AF9" s="83">
        <v>20</v>
      </c>
    </row>
    <row r="10" spans="1:32" ht="18.75" customHeight="1" x14ac:dyDescent="0.15">
      <c r="A10" s="69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84"/>
      <c r="M10" s="34"/>
      <c r="N10" s="34"/>
      <c r="O10" s="38"/>
      <c r="P10" s="39"/>
      <c r="Q10" s="38"/>
      <c r="R10" s="34"/>
      <c r="S10" s="34"/>
      <c r="T10" s="34"/>
      <c r="U10" s="69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84"/>
    </row>
    <row r="11" spans="1:32" ht="21.75" customHeight="1" x14ac:dyDescent="0.15">
      <c r="A11" s="68">
        <v>20</v>
      </c>
      <c r="B11" s="66" t="s">
        <v>34</v>
      </c>
      <c r="C11" s="71">
        <v>1</v>
      </c>
      <c r="D11" s="71">
        <v>16</v>
      </c>
      <c r="E11" s="71">
        <v>19</v>
      </c>
      <c r="F11" s="71">
        <v>60</v>
      </c>
      <c r="G11" s="76"/>
      <c r="H11" s="82">
        <f>E11*F11</f>
        <v>1140</v>
      </c>
      <c r="I11" s="76"/>
      <c r="J11" s="71">
        <v>2.5</v>
      </c>
      <c r="K11" s="71">
        <v>2.5</v>
      </c>
      <c r="L11" s="78">
        <v>3</v>
      </c>
      <c r="M11" s="33"/>
      <c r="N11" s="34"/>
      <c r="O11" s="35"/>
      <c r="P11" s="36"/>
      <c r="Q11" s="35"/>
      <c r="R11" s="37"/>
      <c r="S11" s="34"/>
      <c r="T11" s="33"/>
      <c r="U11" s="77">
        <v>4</v>
      </c>
      <c r="V11" s="71">
        <v>2.5</v>
      </c>
      <c r="W11" s="71">
        <v>2.5</v>
      </c>
      <c r="X11" s="76"/>
      <c r="Y11" s="82">
        <f>AA11*AB11</f>
        <v>1200</v>
      </c>
      <c r="Z11" s="76"/>
      <c r="AA11" s="71">
        <v>75</v>
      </c>
      <c r="AB11" s="71">
        <v>16</v>
      </c>
      <c r="AC11" s="71">
        <v>16</v>
      </c>
      <c r="AD11" s="71">
        <v>1</v>
      </c>
      <c r="AE11" s="66" t="s">
        <v>35</v>
      </c>
      <c r="AF11" s="85">
        <v>20</v>
      </c>
    </row>
    <row r="12" spans="1:32" ht="18.75" customHeight="1" x14ac:dyDescent="0.15">
      <c r="A12" s="69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84"/>
      <c r="M12" s="34"/>
      <c r="N12" s="34"/>
      <c r="O12" s="38"/>
      <c r="P12" s="39"/>
      <c r="Q12" s="38"/>
      <c r="R12" s="34"/>
      <c r="S12" s="34"/>
      <c r="T12" s="34"/>
      <c r="U12" s="69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84"/>
    </row>
    <row r="13" spans="1:32" ht="21.75" customHeight="1" x14ac:dyDescent="0.15">
      <c r="A13" s="68">
        <v>20</v>
      </c>
      <c r="B13" s="66" t="s">
        <v>36</v>
      </c>
      <c r="C13" s="71">
        <v>1</v>
      </c>
      <c r="D13" s="71">
        <v>16</v>
      </c>
      <c r="E13" s="71">
        <v>10</v>
      </c>
      <c r="F13" s="71">
        <v>75</v>
      </c>
      <c r="G13" s="76"/>
      <c r="H13" s="76"/>
      <c r="I13" s="81">
        <f>E13*F13</f>
        <v>750</v>
      </c>
      <c r="J13" s="71">
        <v>2.5</v>
      </c>
      <c r="K13" s="71">
        <v>2.5</v>
      </c>
      <c r="L13" s="78">
        <v>5</v>
      </c>
      <c r="M13" s="33"/>
      <c r="N13" s="34"/>
      <c r="O13" s="35"/>
      <c r="P13" s="36"/>
      <c r="Q13" s="35"/>
      <c r="R13" s="33"/>
      <c r="S13" s="34"/>
      <c r="T13" s="33"/>
      <c r="U13" s="77">
        <v>6</v>
      </c>
      <c r="V13" s="71">
        <v>2.5</v>
      </c>
      <c r="W13" s="71">
        <v>2.5</v>
      </c>
      <c r="X13" s="76"/>
      <c r="Y13" s="76"/>
      <c r="Z13" s="81">
        <f>AA13*AB13</f>
        <v>1140</v>
      </c>
      <c r="AA13" s="71">
        <v>60</v>
      </c>
      <c r="AB13" s="71">
        <v>19</v>
      </c>
      <c r="AC13" s="71">
        <v>16</v>
      </c>
      <c r="AD13" s="71">
        <v>1</v>
      </c>
      <c r="AE13" s="66" t="s">
        <v>37</v>
      </c>
      <c r="AF13" s="85">
        <v>20</v>
      </c>
    </row>
    <row r="14" spans="1:32" ht="18.75" customHeight="1" x14ac:dyDescent="0.15">
      <c r="A14" s="70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9"/>
      <c r="M14" s="34"/>
      <c r="N14" s="34"/>
      <c r="O14" s="38"/>
      <c r="P14" s="39"/>
      <c r="Q14" s="38"/>
      <c r="R14" s="34"/>
      <c r="S14" s="34"/>
      <c r="T14" s="34"/>
      <c r="U14" s="70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9"/>
    </row>
    <row r="15" spans="1:32" ht="21.75" customHeight="1" x14ac:dyDescent="0.15">
      <c r="A15" s="73">
        <v>20</v>
      </c>
      <c r="B15" s="74" t="s">
        <v>38</v>
      </c>
      <c r="C15" s="75">
        <v>1</v>
      </c>
      <c r="D15" s="75">
        <v>16</v>
      </c>
      <c r="E15" s="75">
        <v>16</v>
      </c>
      <c r="F15" s="75">
        <v>75</v>
      </c>
      <c r="G15" s="121">
        <f>E15*F15</f>
        <v>1200</v>
      </c>
      <c r="H15" s="80"/>
      <c r="I15" s="80"/>
      <c r="J15" s="75">
        <v>2.5</v>
      </c>
      <c r="K15" s="75">
        <v>2.5</v>
      </c>
      <c r="L15" s="123">
        <v>7</v>
      </c>
      <c r="M15" s="33"/>
      <c r="N15" s="34"/>
      <c r="O15" s="35"/>
      <c r="P15" s="36"/>
      <c r="Q15" s="35"/>
      <c r="R15" s="37"/>
      <c r="S15" s="34"/>
      <c r="T15" s="33"/>
      <c r="U15" s="122">
        <v>8</v>
      </c>
      <c r="V15" s="75">
        <v>2.5</v>
      </c>
      <c r="W15" s="75">
        <v>2.5</v>
      </c>
      <c r="X15" s="121">
        <f>AA15*AB15</f>
        <v>825</v>
      </c>
      <c r="Y15" s="80"/>
      <c r="Z15" s="80"/>
      <c r="AA15" s="75">
        <v>75</v>
      </c>
      <c r="AB15" s="75">
        <v>11</v>
      </c>
      <c r="AC15" s="75">
        <v>16</v>
      </c>
      <c r="AD15" s="75">
        <v>1</v>
      </c>
      <c r="AE15" s="74" t="s">
        <v>39</v>
      </c>
      <c r="AF15" s="83">
        <v>20</v>
      </c>
    </row>
    <row r="16" spans="1:32" ht="18.75" customHeight="1" x14ac:dyDescent="0.15">
      <c r="A16" s="69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84"/>
      <c r="M16" s="34"/>
      <c r="N16" s="34"/>
      <c r="O16" s="38"/>
      <c r="P16" s="39"/>
      <c r="Q16" s="38"/>
      <c r="R16" s="34"/>
      <c r="S16" s="34"/>
      <c r="T16" s="34"/>
      <c r="U16" s="69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84"/>
    </row>
    <row r="17" spans="1:32" ht="21.75" customHeight="1" x14ac:dyDescent="0.15">
      <c r="A17" s="68">
        <v>20</v>
      </c>
      <c r="B17" s="66" t="s">
        <v>40</v>
      </c>
      <c r="C17" s="71">
        <v>1</v>
      </c>
      <c r="D17" s="71">
        <v>16</v>
      </c>
      <c r="E17" s="71">
        <v>9</v>
      </c>
      <c r="F17" s="71">
        <v>80</v>
      </c>
      <c r="G17" s="76"/>
      <c r="H17" s="82">
        <f>E17*F17</f>
        <v>720</v>
      </c>
      <c r="I17" s="76"/>
      <c r="J17" s="71">
        <v>2.5</v>
      </c>
      <c r="K17" s="71">
        <v>2.5</v>
      </c>
      <c r="L17" s="78">
        <v>9</v>
      </c>
      <c r="M17" s="33"/>
      <c r="N17" s="34"/>
      <c r="O17" s="35"/>
      <c r="P17" s="36"/>
      <c r="Q17" s="35"/>
      <c r="R17" s="37"/>
      <c r="S17" s="34"/>
      <c r="T17" s="33"/>
      <c r="U17" s="77">
        <v>10</v>
      </c>
      <c r="V17" s="71">
        <v>2.5</v>
      </c>
      <c r="W17" s="71">
        <v>2.5</v>
      </c>
      <c r="X17" s="76"/>
      <c r="Y17" s="82">
        <f>AA17*AB17</f>
        <v>50</v>
      </c>
      <c r="Z17" s="76"/>
      <c r="AA17" s="71">
        <v>50</v>
      </c>
      <c r="AB17" s="71">
        <v>1</v>
      </c>
      <c r="AC17" s="71">
        <v>16</v>
      </c>
      <c r="AD17" s="71">
        <v>1</v>
      </c>
      <c r="AE17" s="66" t="s">
        <v>41</v>
      </c>
      <c r="AF17" s="85">
        <v>20</v>
      </c>
    </row>
    <row r="18" spans="1:32" ht="18.75" customHeight="1" x14ac:dyDescent="0.15">
      <c r="A18" s="69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84"/>
      <c r="M18" s="34"/>
      <c r="N18" s="34"/>
      <c r="O18" s="38"/>
      <c r="P18" s="39"/>
      <c r="Q18" s="38"/>
      <c r="R18" s="34"/>
      <c r="S18" s="34"/>
      <c r="T18" s="34"/>
      <c r="U18" s="69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84"/>
    </row>
    <row r="19" spans="1:32" ht="21.75" customHeight="1" x14ac:dyDescent="0.15">
      <c r="A19" s="68">
        <v>20</v>
      </c>
      <c r="B19" s="66" t="s">
        <v>42</v>
      </c>
      <c r="C19" s="71">
        <v>1</v>
      </c>
      <c r="D19" s="71">
        <v>20</v>
      </c>
      <c r="E19" s="71">
        <v>6</v>
      </c>
      <c r="F19" s="71">
        <v>180</v>
      </c>
      <c r="G19" s="76"/>
      <c r="H19" s="76"/>
      <c r="I19" s="81">
        <f>E19*F19</f>
        <v>1080</v>
      </c>
      <c r="J19" s="71">
        <v>4</v>
      </c>
      <c r="K19" s="71">
        <v>2.5</v>
      </c>
      <c r="L19" s="78">
        <v>11</v>
      </c>
      <c r="M19" s="33"/>
      <c r="N19" s="34"/>
      <c r="O19" s="35"/>
      <c r="P19" s="36"/>
      <c r="Q19" s="35"/>
      <c r="R19" s="33"/>
      <c r="S19" s="34"/>
      <c r="T19" s="33"/>
      <c r="U19" s="77">
        <v>12</v>
      </c>
      <c r="V19" s="71">
        <v>2.5</v>
      </c>
      <c r="W19" s="71">
        <v>4</v>
      </c>
      <c r="X19" s="76"/>
      <c r="Y19" s="76"/>
      <c r="Z19" s="81">
        <f>AA19*AB19</f>
        <v>1080</v>
      </c>
      <c r="AA19" s="71">
        <v>180</v>
      </c>
      <c r="AB19" s="71">
        <v>6</v>
      </c>
      <c r="AC19" s="71">
        <v>20</v>
      </c>
      <c r="AD19" s="71">
        <v>1</v>
      </c>
      <c r="AE19" s="66" t="s">
        <v>43</v>
      </c>
      <c r="AF19" s="85">
        <v>20</v>
      </c>
    </row>
    <row r="20" spans="1:32" ht="18.75" customHeight="1" x14ac:dyDescent="0.15">
      <c r="A20" s="70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9"/>
      <c r="M20" s="34"/>
      <c r="N20" s="34"/>
      <c r="O20" s="38"/>
      <c r="P20" s="39"/>
      <c r="Q20" s="38"/>
      <c r="R20" s="34"/>
      <c r="S20" s="34"/>
      <c r="T20" s="34"/>
      <c r="U20" s="70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9"/>
    </row>
    <row r="21" spans="1:32" ht="21.75" customHeight="1" x14ac:dyDescent="0.15">
      <c r="A21" s="73">
        <v>20</v>
      </c>
      <c r="B21" s="74" t="s">
        <v>44</v>
      </c>
      <c r="C21" s="75">
        <v>1</v>
      </c>
      <c r="D21" s="75">
        <v>20</v>
      </c>
      <c r="E21" s="75">
        <v>7</v>
      </c>
      <c r="F21" s="75">
        <v>180</v>
      </c>
      <c r="G21" s="121">
        <f>E21*F21</f>
        <v>1260</v>
      </c>
      <c r="H21" s="80"/>
      <c r="I21" s="80"/>
      <c r="J21" s="75">
        <v>4</v>
      </c>
      <c r="K21" s="75">
        <v>2.5</v>
      </c>
      <c r="L21" s="123">
        <v>13</v>
      </c>
      <c r="M21" s="33"/>
      <c r="N21" s="34"/>
      <c r="O21" s="35"/>
      <c r="P21" s="36"/>
      <c r="Q21" s="35"/>
      <c r="R21" s="37"/>
      <c r="S21" s="34"/>
      <c r="T21" s="33"/>
      <c r="U21" s="122">
        <v>14</v>
      </c>
      <c r="V21" s="75">
        <v>2.5</v>
      </c>
      <c r="W21" s="75">
        <v>4</v>
      </c>
      <c r="X21" s="121">
        <f>AA21*AB21</f>
        <v>1080</v>
      </c>
      <c r="Y21" s="80"/>
      <c r="Z21" s="80"/>
      <c r="AA21" s="75">
        <v>180</v>
      </c>
      <c r="AB21" s="75">
        <v>6</v>
      </c>
      <c r="AC21" s="75">
        <v>20</v>
      </c>
      <c r="AD21" s="75">
        <v>1</v>
      </c>
      <c r="AE21" s="74" t="s">
        <v>45</v>
      </c>
      <c r="AF21" s="83">
        <v>20</v>
      </c>
    </row>
    <row r="22" spans="1:32" ht="18.75" customHeight="1" x14ac:dyDescent="0.15">
      <c r="A22" s="69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84"/>
      <c r="M22" s="34"/>
      <c r="N22" s="34"/>
      <c r="O22" s="38"/>
      <c r="P22" s="39"/>
      <c r="Q22" s="38"/>
      <c r="R22" s="34"/>
      <c r="S22" s="34"/>
      <c r="T22" s="34"/>
      <c r="U22" s="69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84"/>
    </row>
    <row r="23" spans="1:32" ht="21.75" customHeight="1" x14ac:dyDescent="0.15">
      <c r="A23" s="68">
        <v>20</v>
      </c>
      <c r="B23" s="66" t="s">
        <v>46</v>
      </c>
      <c r="C23" s="71">
        <v>1</v>
      </c>
      <c r="D23" s="71">
        <v>20</v>
      </c>
      <c r="E23" s="71">
        <v>6</v>
      </c>
      <c r="F23" s="71">
        <v>180</v>
      </c>
      <c r="G23" s="76"/>
      <c r="H23" s="82">
        <f>E23*F23</f>
        <v>1080</v>
      </c>
      <c r="I23" s="76"/>
      <c r="J23" s="71">
        <v>4</v>
      </c>
      <c r="K23" s="71">
        <v>2.5</v>
      </c>
      <c r="L23" s="78">
        <v>15</v>
      </c>
      <c r="M23" s="33"/>
      <c r="N23" s="34"/>
      <c r="O23" s="35"/>
      <c r="P23" s="36"/>
      <c r="Q23" s="35"/>
      <c r="R23" s="37"/>
      <c r="S23" s="34"/>
      <c r="T23" s="33"/>
      <c r="U23" s="77">
        <v>16</v>
      </c>
      <c r="V23" s="71">
        <v>2.5</v>
      </c>
      <c r="W23" s="71">
        <v>4</v>
      </c>
      <c r="X23" s="76"/>
      <c r="Y23" s="82">
        <f>AA23*AB23</f>
        <v>1080</v>
      </c>
      <c r="Z23" s="76"/>
      <c r="AA23" s="71">
        <v>180</v>
      </c>
      <c r="AB23" s="71">
        <v>6</v>
      </c>
      <c r="AC23" s="71">
        <v>20</v>
      </c>
      <c r="AD23" s="71">
        <v>1</v>
      </c>
      <c r="AE23" s="66" t="s">
        <v>47</v>
      </c>
      <c r="AF23" s="85">
        <v>20</v>
      </c>
    </row>
    <row r="24" spans="1:32" ht="18.75" customHeight="1" x14ac:dyDescent="0.15">
      <c r="A24" s="69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84"/>
      <c r="M24" s="34"/>
      <c r="N24" s="34"/>
      <c r="O24" s="38"/>
      <c r="P24" s="39"/>
      <c r="Q24" s="38"/>
      <c r="R24" s="34"/>
      <c r="S24" s="34"/>
      <c r="T24" s="34"/>
      <c r="U24" s="69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84"/>
    </row>
    <row r="25" spans="1:32" ht="21.75" customHeight="1" x14ac:dyDescent="0.15">
      <c r="A25" s="68">
        <v>20</v>
      </c>
      <c r="B25" s="66" t="s">
        <v>48</v>
      </c>
      <c r="C25" s="71">
        <v>1</v>
      </c>
      <c r="D25" s="71">
        <v>20</v>
      </c>
      <c r="E25" s="71">
        <v>8</v>
      </c>
      <c r="F25" s="71">
        <v>180</v>
      </c>
      <c r="G25" s="76"/>
      <c r="H25" s="76"/>
      <c r="I25" s="81">
        <f>E25*F25</f>
        <v>1440</v>
      </c>
      <c r="J25" s="71">
        <v>4</v>
      </c>
      <c r="K25" s="71">
        <v>2.5</v>
      </c>
      <c r="L25" s="78">
        <v>17</v>
      </c>
      <c r="M25" s="33"/>
      <c r="N25" s="34"/>
      <c r="O25" s="35"/>
      <c r="P25" s="36"/>
      <c r="Q25" s="35"/>
      <c r="R25" s="33"/>
      <c r="S25" s="34"/>
      <c r="T25" s="33"/>
      <c r="U25" s="77">
        <v>18</v>
      </c>
      <c r="V25" s="71">
        <v>2.5</v>
      </c>
      <c r="W25" s="71">
        <v>4</v>
      </c>
      <c r="X25" s="76"/>
      <c r="Y25" s="76"/>
      <c r="Z25" s="81">
        <f>AA25*AB25</f>
        <v>1620</v>
      </c>
      <c r="AA25" s="71">
        <v>180</v>
      </c>
      <c r="AB25" s="71">
        <v>9</v>
      </c>
      <c r="AC25" s="71">
        <v>20</v>
      </c>
      <c r="AD25" s="71">
        <v>1</v>
      </c>
      <c r="AE25" s="66" t="s">
        <v>49</v>
      </c>
      <c r="AF25" s="85">
        <v>20</v>
      </c>
    </row>
    <row r="26" spans="1:32" ht="18.75" customHeight="1" x14ac:dyDescent="0.15">
      <c r="A26" s="70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9"/>
      <c r="M26" s="34"/>
      <c r="N26" s="34"/>
      <c r="O26" s="38"/>
      <c r="P26" s="39"/>
      <c r="Q26" s="38"/>
      <c r="R26" s="34"/>
      <c r="S26" s="34"/>
      <c r="T26" s="34"/>
      <c r="U26" s="70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9"/>
    </row>
    <row r="27" spans="1:32" ht="21.75" customHeight="1" x14ac:dyDescent="0.15">
      <c r="A27" s="73">
        <v>20</v>
      </c>
      <c r="B27" s="74" t="s">
        <v>50</v>
      </c>
      <c r="C27" s="75">
        <v>1</v>
      </c>
      <c r="D27" s="75">
        <v>20</v>
      </c>
      <c r="E27" s="75">
        <v>1</v>
      </c>
      <c r="F27" s="75">
        <v>600</v>
      </c>
      <c r="G27" s="121">
        <v>800</v>
      </c>
      <c r="H27" s="80"/>
      <c r="I27" s="80"/>
      <c r="J27" s="75">
        <v>4</v>
      </c>
      <c r="K27" s="75">
        <v>2.5</v>
      </c>
      <c r="L27" s="123">
        <v>19</v>
      </c>
      <c r="M27" s="33"/>
      <c r="N27" s="34"/>
      <c r="O27" s="35"/>
      <c r="P27" s="36"/>
      <c r="Q27" s="35"/>
      <c r="R27" s="37"/>
      <c r="S27" s="34"/>
      <c r="T27" s="33"/>
      <c r="U27" s="122">
        <v>20</v>
      </c>
      <c r="V27" s="75">
        <v>2.5</v>
      </c>
      <c r="W27" s="75">
        <v>6</v>
      </c>
      <c r="X27" s="121">
        <f>AA27*AB27</f>
        <v>2000</v>
      </c>
      <c r="Y27" s="80"/>
      <c r="Z27" s="80"/>
      <c r="AA27" s="75">
        <v>2000</v>
      </c>
      <c r="AB27" s="75">
        <v>1</v>
      </c>
      <c r="AC27" s="75">
        <v>30</v>
      </c>
      <c r="AD27" s="75">
        <v>1</v>
      </c>
      <c r="AE27" s="74" t="s">
        <v>51</v>
      </c>
      <c r="AF27" s="83">
        <v>40</v>
      </c>
    </row>
    <row r="28" spans="1:32" ht="18.75" customHeight="1" x14ac:dyDescent="0.15">
      <c r="A28" s="69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84"/>
      <c r="M28" s="34"/>
      <c r="N28" s="34"/>
      <c r="O28" s="38"/>
      <c r="P28" s="39"/>
      <c r="Q28" s="38"/>
      <c r="R28" s="34"/>
      <c r="S28" s="34"/>
      <c r="T28" s="34"/>
      <c r="U28" s="69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84"/>
    </row>
    <row r="29" spans="1:32" ht="21.75" customHeight="1" x14ac:dyDescent="0.15">
      <c r="A29" s="68">
        <v>20</v>
      </c>
      <c r="B29" s="66" t="s">
        <v>52</v>
      </c>
      <c r="C29" s="71">
        <v>1</v>
      </c>
      <c r="D29" s="71">
        <v>20</v>
      </c>
      <c r="E29" s="71">
        <v>1</v>
      </c>
      <c r="F29" s="71">
        <v>800</v>
      </c>
      <c r="G29" s="76"/>
      <c r="H29" s="82">
        <f>E29*F29</f>
        <v>800</v>
      </c>
      <c r="I29" s="76"/>
      <c r="J29" s="71">
        <v>4</v>
      </c>
      <c r="K29" s="71">
        <v>2.5</v>
      </c>
      <c r="L29" s="78">
        <v>21</v>
      </c>
      <c r="M29" s="33"/>
      <c r="N29" s="34"/>
      <c r="O29" s="35"/>
      <c r="P29" s="36"/>
      <c r="Q29" s="35"/>
      <c r="R29" s="37"/>
      <c r="S29" s="34"/>
      <c r="T29" s="33"/>
      <c r="U29" s="77">
        <v>22</v>
      </c>
      <c r="V29" s="71">
        <v>2.5</v>
      </c>
      <c r="W29" s="71">
        <v>6</v>
      </c>
      <c r="X29" s="76"/>
      <c r="Y29" s="82">
        <f>AA29*AB29</f>
        <v>2000</v>
      </c>
      <c r="Z29" s="76"/>
      <c r="AA29" s="71">
        <v>2000</v>
      </c>
      <c r="AB29" s="71">
        <v>1</v>
      </c>
      <c r="AC29" s="71">
        <v>30</v>
      </c>
      <c r="AD29" s="71">
        <v>1</v>
      </c>
      <c r="AE29" s="66" t="s">
        <v>53</v>
      </c>
      <c r="AF29" s="85">
        <v>40</v>
      </c>
    </row>
    <row r="30" spans="1:32" ht="18.75" customHeight="1" x14ac:dyDescent="0.15">
      <c r="A30" s="69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84"/>
      <c r="M30" s="34"/>
      <c r="N30" s="34"/>
      <c r="O30" s="38"/>
      <c r="P30" s="39"/>
      <c r="Q30" s="38"/>
      <c r="R30" s="34"/>
      <c r="S30" s="34"/>
      <c r="T30" s="34"/>
      <c r="U30" s="69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84"/>
    </row>
    <row r="31" spans="1:32" ht="21.75" customHeight="1" x14ac:dyDescent="0.15">
      <c r="A31" s="68">
        <v>20</v>
      </c>
      <c r="B31" s="66" t="s">
        <v>54</v>
      </c>
      <c r="C31" s="71">
        <v>1</v>
      </c>
      <c r="D31" s="71">
        <v>20</v>
      </c>
      <c r="E31" s="71">
        <v>1</v>
      </c>
      <c r="F31" s="71">
        <v>800</v>
      </c>
      <c r="G31" s="76"/>
      <c r="H31" s="76"/>
      <c r="I31" s="81">
        <f>E31*F31</f>
        <v>800</v>
      </c>
      <c r="J31" s="71">
        <v>4</v>
      </c>
      <c r="K31" s="71">
        <v>2.5</v>
      </c>
      <c r="L31" s="78">
        <v>23</v>
      </c>
      <c r="M31" s="33"/>
      <c r="N31" s="34"/>
      <c r="O31" s="35"/>
      <c r="P31" s="36"/>
      <c r="Q31" s="35"/>
      <c r="R31" s="33"/>
      <c r="S31" s="34"/>
      <c r="T31" s="33"/>
      <c r="U31" s="77">
        <v>24</v>
      </c>
      <c r="V31" s="71">
        <v>2.5</v>
      </c>
      <c r="W31" s="71">
        <v>4</v>
      </c>
      <c r="X31" s="76"/>
      <c r="Y31" s="76"/>
      <c r="Z31" s="81">
        <f>AA31*AB31</f>
        <v>100</v>
      </c>
      <c r="AA31" s="71">
        <v>100</v>
      </c>
      <c r="AB31" s="71">
        <v>1</v>
      </c>
      <c r="AC31" s="71">
        <v>20</v>
      </c>
      <c r="AD31" s="71">
        <v>1</v>
      </c>
      <c r="AE31" s="66" t="s">
        <v>55</v>
      </c>
      <c r="AF31" s="85">
        <v>20</v>
      </c>
    </row>
    <row r="32" spans="1:32" ht="18.75" customHeight="1" x14ac:dyDescent="0.15">
      <c r="A32" s="70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9"/>
      <c r="M32" s="34"/>
      <c r="N32" s="34"/>
      <c r="O32" s="38"/>
      <c r="P32" s="39"/>
      <c r="Q32" s="38"/>
      <c r="R32" s="34"/>
      <c r="S32" s="34"/>
      <c r="T32" s="34"/>
      <c r="U32" s="70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9"/>
    </row>
    <row r="33" spans="1:32" ht="21.75" customHeight="1" x14ac:dyDescent="0.15">
      <c r="A33" s="73">
        <v>20</v>
      </c>
      <c r="B33" s="74" t="s">
        <v>56</v>
      </c>
      <c r="C33" s="75">
        <v>1</v>
      </c>
      <c r="D33" s="75">
        <v>20</v>
      </c>
      <c r="E33" s="75">
        <v>1</v>
      </c>
      <c r="F33" s="75">
        <v>100</v>
      </c>
      <c r="G33" s="121">
        <f>E33*F33</f>
        <v>100</v>
      </c>
      <c r="H33" s="80"/>
      <c r="I33" s="80"/>
      <c r="J33" s="75">
        <v>4</v>
      </c>
      <c r="K33" s="75">
        <v>2.5</v>
      </c>
      <c r="L33" s="123">
        <v>25</v>
      </c>
      <c r="M33" s="33"/>
      <c r="N33" s="34"/>
      <c r="O33" s="35"/>
      <c r="P33" s="36"/>
      <c r="Q33" s="35"/>
      <c r="R33" s="37"/>
      <c r="S33" s="34"/>
      <c r="T33" s="33"/>
      <c r="U33" s="122">
        <v>26</v>
      </c>
      <c r="V33" s="75">
        <v>2.5</v>
      </c>
      <c r="W33" s="75">
        <v>4</v>
      </c>
      <c r="X33" s="121">
        <f>AA33*AB33</f>
        <v>100</v>
      </c>
      <c r="Y33" s="80"/>
      <c r="Z33" s="80"/>
      <c r="AA33" s="75">
        <v>100</v>
      </c>
      <c r="AB33" s="75">
        <v>1</v>
      </c>
      <c r="AC33" s="75">
        <v>20</v>
      </c>
      <c r="AD33" s="75">
        <v>1</v>
      </c>
      <c r="AE33" s="74" t="s">
        <v>57</v>
      </c>
      <c r="AF33" s="83">
        <v>20</v>
      </c>
    </row>
    <row r="34" spans="1:32" ht="18.75" customHeight="1" x14ac:dyDescent="0.15">
      <c r="A34" s="69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84"/>
      <c r="M34" s="34"/>
      <c r="N34" s="34"/>
      <c r="O34" s="38"/>
      <c r="P34" s="39"/>
      <c r="Q34" s="38"/>
      <c r="R34" s="34"/>
      <c r="S34" s="34"/>
      <c r="T34" s="34"/>
      <c r="U34" s="69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84"/>
    </row>
    <row r="35" spans="1:32" ht="21.75" customHeight="1" x14ac:dyDescent="0.15">
      <c r="A35" s="68">
        <v>40</v>
      </c>
      <c r="B35" s="66" t="s">
        <v>58</v>
      </c>
      <c r="C35" s="71">
        <v>1</v>
      </c>
      <c r="D35" s="71">
        <v>30</v>
      </c>
      <c r="E35" s="71">
        <v>1</v>
      </c>
      <c r="F35" s="71">
        <v>2600</v>
      </c>
      <c r="G35" s="76"/>
      <c r="H35" s="82">
        <f>E35*F35</f>
        <v>2600</v>
      </c>
      <c r="I35" s="76"/>
      <c r="J35" s="71">
        <v>6</v>
      </c>
      <c r="K35" s="71">
        <v>4</v>
      </c>
      <c r="L35" s="78">
        <v>27</v>
      </c>
      <c r="M35" s="33"/>
      <c r="N35" s="34"/>
      <c r="O35" s="35"/>
      <c r="P35" s="36"/>
      <c r="Q35" s="35"/>
      <c r="R35" s="37"/>
      <c r="S35" s="34"/>
      <c r="T35" s="33"/>
      <c r="U35" s="77">
        <v>28</v>
      </c>
      <c r="V35" s="71">
        <v>4</v>
      </c>
      <c r="W35" s="71">
        <v>6</v>
      </c>
      <c r="X35" s="76"/>
      <c r="Y35" s="82">
        <f>AA35*AB35</f>
        <v>2600</v>
      </c>
      <c r="Z35" s="76"/>
      <c r="AA35" s="71">
        <v>2600</v>
      </c>
      <c r="AB35" s="71">
        <v>1</v>
      </c>
      <c r="AC35" s="71">
        <v>30</v>
      </c>
      <c r="AD35" s="71">
        <v>1</v>
      </c>
      <c r="AE35" s="66" t="s">
        <v>59</v>
      </c>
      <c r="AF35" s="85">
        <v>40</v>
      </c>
    </row>
    <row r="36" spans="1:32" ht="18.75" customHeight="1" x14ac:dyDescent="0.15">
      <c r="A36" s="69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84"/>
      <c r="M36" s="34"/>
      <c r="N36" s="34"/>
      <c r="O36" s="38"/>
      <c r="P36" s="39"/>
      <c r="Q36" s="38"/>
      <c r="R36" s="34"/>
      <c r="S36" s="34"/>
      <c r="T36" s="34"/>
      <c r="U36" s="69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84"/>
    </row>
    <row r="37" spans="1:32" ht="21.75" customHeight="1" x14ac:dyDescent="0.15">
      <c r="A37" s="68">
        <v>40</v>
      </c>
      <c r="B37" s="66" t="s">
        <v>60</v>
      </c>
      <c r="C37" s="71">
        <v>1</v>
      </c>
      <c r="D37" s="71">
        <v>30</v>
      </c>
      <c r="E37" s="71">
        <v>1</v>
      </c>
      <c r="F37" s="71">
        <v>2600</v>
      </c>
      <c r="G37" s="76"/>
      <c r="H37" s="76"/>
      <c r="I37" s="81">
        <f>E37*F37</f>
        <v>2600</v>
      </c>
      <c r="J37" s="71">
        <v>6</v>
      </c>
      <c r="K37" s="71">
        <v>4</v>
      </c>
      <c r="L37" s="78">
        <v>29</v>
      </c>
      <c r="M37" s="33"/>
      <c r="N37" s="34"/>
      <c r="O37" s="35"/>
      <c r="P37" s="36"/>
      <c r="Q37" s="35"/>
      <c r="R37" s="33"/>
      <c r="S37" s="34"/>
      <c r="T37" s="33"/>
      <c r="U37" s="77">
        <v>30</v>
      </c>
      <c r="V37" s="71">
        <v>4</v>
      </c>
      <c r="W37" s="71">
        <v>6</v>
      </c>
      <c r="X37" s="76"/>
      <c r="Y37" s="76"/>
      <c r="Z37" s="81">
        <f>AA37*AB37</f>
        <v>2600</v>
      </c>
      <c r="AA37" s="71">
        <v>2600</v>
      </c>
      <c r="AB37" s="71">
        <v>1</v>
      </c>
      <c r="AC37" s="71">
        <v>30</v>
      </c>
      <c r="AD37" s="71">
        <v>1</v>
      </c>
      <c r="AE37" s="66" t="s">
        <v>61</v>
      </c>
      <c r="AF37" s="85">
        <v>40</v>
      </c>
    </row>
    <row r="38" spans="1:32" ht="18.75" customHeight="1" x14ac:dyDescent="0.15">
      <c r="A38" s="70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9"/>
      <c r="M38" s="34"/>
      <c r="N38" s="34"/>
      <c r="O38" s="38"/>
      <c r="P38" s="39"/>
      <c r="Q38" s="38"/>
      <c r="R38" s="34"/>
      <c r="S38" s="34"/>
      <c r="T38" s="34"/>
      <c r="U38" s="70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9"/>
    </row>
    <row r="39" spans="1:32" ht="21.75" customHeight="1" x14ac:dyDescent="0.15">
      <c r="A39" s="73">
        <v>40</v>
      </c>
      <c r="B39" s="74" t="s">
        <v>62</v>
      </c>
      <c r="C39" s="75">
        <v>1</v>
      </c>
      <c r="D39" s="75">
        <v>30</v>
      </c>
      <c r="E39" s="75">
        <v>1</v>
      </c>
      <c r="F39" s="75">
        <v>2600</v>
      </c>
      <c r="G39" s="121">
        <f>E39*F39</f>
        <v>2600</v>
      </c>
      <c r="H39" s="80"/>
      <c r="I39" s="80"/>
      <c r="J39" s="75">
        <v>6</v>
      </c>
      <c r="K39" s="75">
        <v>4</v>
      </c>
      <c r="L39" s="123">
        <v>31</v>
      </c>
      <c r="M39" s="33"/>
      <c r="N39" s="34"/>
      <c r="O39" s="35"/>
      <c r="P39" s="36"/>
      <c r="Q39" s="35"/>
      <c r="R39" s="37"/>
      <c r="S39" s="34"/>
      <c r="T39" s="33"/>
      <c r="U39" s="122">
        <v>32</v>
      </c>
      <c r="V39" s="75"/>
      <c r="W39" s="75"/>
      <c r="X39" s="121">
        <f>AA39*AB39</f>
        <v>0</v>
      </c>
      <c r="Y39" s="80"/>
      <c r="Z39" s="80"/>
      <c r="AA39" s="75"/>
      <c r="AB39" s="75"/>
      <c r="AC39" s="75"/>
      <c r="AD39" s="75"/>
      <c r="AE39" s="74" t="s">
        <v>63</v>
      </c>
      <c r="AF39" s="83"/>
    </row>
    <row r="40" spans="1:32" ht="18.75" customHeight="1" x14ac:dyDescent="0.15">
      <c r="A40" s="69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84"/>
      <c r="M40" s="34"/>
      <c r="N40" s="34"/>
      <c r="O40" s="38"/>
      <c r="P40" s="39"/>
      <c r="Q40" s="38"/>
      <c r="R40" s="34"/>
      <c r="S40" s="34"/>
      <c r="T40" s="34"/>
      <c r="U40" s="69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84"/>
    </row>
    <row r="41" spans="1:32" ht="21.75" customHeight="1" x14ac:dyDescent="0.15">
      <c r="A41" s="68"/>
      <c r="B41" s="66" t="s">
        <v>64</v>
      </c>
      <c r="C41" s="71"/>
      <c r="D41" s="71"/>
      <c r="E41" s="71"/>
      <c r="F41" s="71"/>
      <c r="G41" s="76"/>
      <c r="H41" s="82">
        <f>E41*F41</f>
        <v>0</v>
      </c>
      <c r="I41" s="76"/>
      <c r="J41" s="71"/>
      <c r="K41" s="71"/>
      <c r="L41" s="78">
        <v>33</v>
      </c>
      <c r="M41" s="33"/>
      <c r="N41" s="34"/>
      <c r="O41" s="35"/>
      <c r="P41" s="36"/>
      <c r="Q41" s="35"/>
      <c r="R41" s="37"/>
      <c r="S41" s="34"/>
      <c r="T41" s="33"/>
      <c r="U41" s="77">
        <v>34</v>
      </c>
      <c r="V41" s="71"/>
      <c r="W41" s="71"/>
      <c r="X41" s="76"/>
      <c r="Y41" s="82">
        <f>AA41*AB41</f>
        <v>0</v>
      </c>
      <c r="Z41" s="76"/>
      <c r="AA41" s="71"/>
      <c r="AB41" s="71"/>
      <c r="AC41" s="71"/>
      <c r="AD41" s="71"/>
      <c r="AE41" s="66" t="s">
        <v>63</v>
      </c>
      <c r="AF41" s="85"/>
    </row>
    <row r="42" spans="1:32" ht="18.75" customHeight="1" x14ac:dyDescent="0.15">
      <c r="A42" s="69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84"/>
      <c r="M42" s="34"/>
      <c r="N42" s="34"/>
      <c r="O42" s="38"/>
      <c r="P42" s="39"/>
      <c r="Q42" s="38"/>
      <c r="R42" s="34"/>
      <c r="S42" s="34"/>
      <c r="T42" s="34"/>
      <c r="U42" s="69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84"/>
    </row>
    <row r="43" spans="1:32" ht="21.75" customHeight="1" x14ac:dyDescent="0.15">
      <c r="A43" s="68"/>
      <c r="B43" s="66" t="s">
        <v>64</v>
      </c>
      <c r="C43" s="71"/>
      <c r="D43" s="71"/>
      <c r="E43" s="71"/>
      <c r="F43" s="71"/>
      <c r="G43" s="76"/>
      <c r="H43" s="76"/>
      <c r="I43" s="81">
        <f>E43*F43</f>
        <v>0</v>
      </c>
      <c r="J43" s="71"/>
      <c r="K43" s="71"/>
      <c r="L43" s="78">
        <v>35</v>
      </c>
      <c r="M43" s="33"/>
      <c r="N43" s="34"/>
      <c r="O43" s="35"/>
      <c r="P43" s="36"/>
      <c r="Q43" s="35"/>
      <c r="R43" s="33"/>
      <c r="S43" s="34"/>
      <c r="T43" s="33"/>
      <c r="U43" s="77">
        <v>36</v>
      </c>
      <c r="V43" s="71"/>
      <c r="W43" s="71"/>
      <c r="X43" s="76"/>
      <c r="Y43" s="76"/>
      <c r="Z43" s="81">
        <f>AA43*AB43</f>
        <v>0</v>
      </c>
      <c r="AA43" s="71"/>
      <c r="AB43" s="71"/>
      <c r="AC43" s="71"/>
      <c r="AD43" s="71"/>
      <c r="AE43" s="66" t="s">
        <v>63</v>
      </c>
      <c r="AF43" s="85"/>
    </row>
    <row r="44" spans="1:32" ht="18.75" customHeight="1" x14ac:dyDescent="0.15">
      <c r="A44" s="70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9"/>
      <c r="M44" s="34"/>
      <c r="N44" s="34"/>
      <c r="O44" s="38"/>
      <c r="P44" s="39"/>
      <c r="Q44" s="38"/>
      <c r="R44" s="34"/>
      <c r="S44" s="34"/>
      <c r="T44" s="34"/>
      <c r="U44" s="70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9"/>
    </row>
    <row r="45" spans="1:32" ht="20.25" customHeight="1" x14ac:dyDescent="0.15">
      <c r="A45" s="40"/>
      <c r="B45" s="1"/>
      <c r="C45" s="34"/>
      <c r="D45" s="34"/>
      <c r="E45" s="34"/>
      <c r="F45" s="34"/>
      <c r="G45" s="92">
        <f t="shared" ref="G45:I45" si="0">SUM(G9:G43)</f>
        <v>7100</v>
      </c>
      <c r="H45" s="94">
        <f t="shared" si="0"/>
        <v>6340</v>
      </c>
      <c r="I45" s="96">
        <f t="shared" si="0"/>
        <v>6670</v>
      </c>
      <c r="J45" s="97"/>
      <c r="K45" s="88" t="s">
        <v>65</v>
      </c>
      <c r="L45" s="89"/>
      <c r="M45" s="97"/>
      <c r="N45" s="102"/>
      <c r="O45" s="102"/>
      <c r="P45" s="102"/>
      <c r="Q45" s="102"/>
      <c r="R45" s="102"/>
      <c r="S45" s="102"/>
      <c r="T45" s="102"/>
      <c r="U45" s="88" t="s">
        <v>65</v>
      </c>
      <c r="V45" s="89"/>
      <c r="W45" s="97"/>
      <c r="X45" s="92">
        <f t="shared" ref="X45:Z45" si="1">SUM(X9:X43)</f>
        <v>5145</v>
      </c>
      <c r="Y45" s="94">
        <f t="shared" si="1"/>
        <v>6930</v>
      </c>
      <c r="Z45" s="96">
        <f t="shared" si="1"/>
        <v>6540</v>
      </c>
      <c r="AA45" s="34"/>
      <c r="AB45" s="34"/>
      <c r="AC45" s="34"/>
      <c r="AD45" s="34"/>
      <c r="AE45" s="1"/>
      <c r="AF45" s="41"/>
    </row>
    <row r="46" spans="1:32" ht="20.25" customHeight="1" x14ac:dyDescent="0.15">
      <c r="A46" s="40"/>
      <c r="B46" s="1"/>
      <c r="C46" s="34"/>
      <c r="D46" s="34"/>
      <c r="E46" s="34"/>
      <c r="F46" s="34"/>
      <c r="G46" s="93"/>
      <c r="H46" s="95"/>
      <c r="I46" s="93"/>
      <c r="J46" s="98"/>
      <c r="K46" s="90"/>
      <c r="L46" s="91"/>
      <c r="M46" s="125" t="s">
        <v>31</v>
      </c>
      <c r="N46" s="98"/>
      <c r="O46" s="98"/>
      <c r="P46" s="42"/>
      <c r="Q46" s="42"/>
      <c r="R46" s="124" t="s">
        <v>66</v>
      </c>
      <c r="S46" s="98"/>
      <c r="T46" s="42"/>
      <c r="U46" s="90"/>
      <c r="V46" s="91"/>
      <c r="W46" s="98"/>
      <c r="X46" s="93"/>
      <c r="Y46" s="95"/>
      <c r="Z46" s="93"/>
      <c r="AA46" s="34"/>
      <c r="AB46" s="34"/>
      <c r="AC46" s="34"/>
      <c r="AD46" s="34"/>
      <c r="AE46" s="1"/>
      <c r="AF46" s="41"/>
    </row>
    <row r="47" spans="1:32" ht="36.75" customHeight="1" x14ac:dyDescent="0.15">
      <c r="A47" s="40"/>
      <c r="B47" s="1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1"/>
      <c r="AF47" s="41"/>
    </row>
    <row r="48" spans="1:32" ht="31.5" customHeight="1" x14ac:dyDescent="0.25">
      <c r="A48" s="4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43"/>
      <c r="AA48" s="43"/>
      <c r="AB48" s="43" t="s">
        <v>67</v>
      </c>
      <c r="AC48" s="43"/>
      <c r="AD48" s="43"/>
      <c r="AE48" s="44">
        <v>70</v>
      </c>
      <c r="AF48" s="45" t="s">
        <v>68</v>
      </c>
    </row>
    <row r="49" spans="1:32" ht="36.75" customHeight="1" x14ac:dyDescent="0.25">
      <c r="A49" s="13" t="s">
        <v>69</v>
      </c>
      <c r="B49" s="46">
        <f>G45+X45</f>
        <v>12245</v>
      </c>
      <c r="C49" s="11" t="s">
        <v>70</v>
      </c>
      <c r="D49" s="1"/>
      <c r="E49" s="1"/>
      <c r="F49" s="1"/>
      <c r="G49" s="86" t="s">
        <v>71</v>
      </c>
      <c r="H49" s="87"/>
      <c r="I49" s="43" t="s">
        <v>72</v>
      </c>
      <c r="J49" s="43"/>
      <c r="K49" s="4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43"/>
      <c r="AA49" s="43"/>
      <c r="AB49" s="43" t="s">
        <v>73</v>
      </c>
      <c r="AC49" s="43"/>
      <c r="AD49" s="43"/>
      <c r="AE49" s="47">
        <f>(B52*AE48)/(1000*100)</f>
        <v>27.107500000000002</v>
      </c>
      <c r="AF49" s="45" t="s">
        <v>74</v>
      </c>
    </row>
    <row r="50" spans="1:32" ht="36.75" customHeight="1" x14ac:dyDescent="0.25">
      <c r="A50" s="48" t="s">
        <v>75</v>
      </c>
      <c r="B50" s="49">
        <f>H45+Y45</f>
        <v>13270</v>
      </c>
      <c r="C50" s="11" t="s">
        <v>70</v>
      </c>
      <c r="D50" s="1"/>
      <c r="E50" s="1"/>
      <c r="F50" s="1"/>
      <c r="G50" s="86" t="s">
        <v>76</v>
      </c>
      <c r="H50" s="87"/>
      <c r="I50" s="43" t="s">
        <v>77</v>
      </c>
      <c r="J50" s="43"/>
      <c r="K50" s="4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43"/>
      <c r="AA50" s="43"/>
      <c r="AB50" s="43" t="s">
        <v>78</v>
      </c>
      <c r="AC50" s="43"/>
      <c r="AD50" s="43"/>
      <c r="AE50" s="47">
        <f>AE49*0.2</f>
        <v>5.4215000000000009</v>
      </c>
      <c r="AF50" s="45" t="s">
        <v>74</v>
      </c>
    </row>
    <row r="51" spans="1:32" ht="36.75" customHeight="1" x14ac:dyDescent="0.25">
      <c r="A51" s="48" t="s">
        <v>79</v>
      </c>
      <c r="B51" s="50">
        <f>I45+Z45</f>
        <v>13210</v>
      </c>
      <c r="C51" s="11" t="s">
        <v>70</v>
      </c>
      <c r="D51" s="1"/>
      <c r="E51" s="1"/>
      <c r="F51" s="1"/>
      <c r="G51" s="86" t="s">
        <v>80</v>
      </c>
      <c r="H51" s="87"/>
      <c r="I51" s="43" t="s">
        <v>81</v>
      </c>
      <c r="J51" s="43"/>
      <c r="K51" s="4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43"/>
      <c r="AA51" s="43"/>
      <c r="AB51" s="43" t="s">
        <v>82</v>
      </c>
      <c r="AC51" s="43"/>
      <c r="AD51" s="43"/>
      <c r="AE51" s="47">
        <f>AE49+AE50</f>
        <v>32.529000000000003</v>
      </c>
      <c r="AF51" s="45" t="s">
        <v>74</v>
      </c>
    </row>
    <row r="52" spans="1:32" ht="36.75" customHeight="1" x14ac:dyDescent="0.3">
      <c r="A52" s="48" t="s">
        <v>65</v>
      </c>
      <c r="B52" s="51">
        <f>B49+B50+B51</f>
        <v>38725</v>
      </c>
      <c r="C52" s="11" t="s">
        <v>70</v>
      </c>
      <c r="D52" s="1"/>
      <c r="E52" s="1"/>
      <c r="F52" s="1"/>
      <c r="G52" s="86" t="s">
        <v>83</v>
      </c>
      <c r="H52" s="87"/>
      <c r="I52" s="43" t="s">
        <v>84</v>
      </c>
      <c r="J52" s="43"/>
      <c r="K52" s="4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43"/>
      <c r="AA52" s="43"/>
      <c r="AB52" s="52" t="s">
        <v>85</v>
      </c>
      <c r="AC52" s="43"/>
      <c r="AD52" s="43"/>
      <c r="AE52" s="53">
        <f>AE51*1000/(380*1.73)</f>
        <v>49.481289930027387</v>
      </c>
      <c r="AF52" s="45" t="s">
        <v>86</v>
      </c>
    </row>
    <row r="53" spans="1:32" ht="24.75" customHeight="1" x14ac:dyDescent="0.15">
      <c r="A53" s="17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1"/>
    </row>
    <row r="54" spans="1:32" ht="36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30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30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30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4.2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30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30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30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30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4.2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4.2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4.2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4.2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4.2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4.2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4.2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4.2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4.2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4.2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4.2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4.2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4.2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4.2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4.2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4.2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4.2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4.2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4.2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4.2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4.2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4.2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4.2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4.2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4.2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4.2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4.2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4.2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4.2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4.2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4.2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4.2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4.2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4.2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4.2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4.2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4.2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4.2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</sheetData>
  <mergeCells count="472">
    <mergeCell ref="I19:I20"/>
    <mergeCell ref="I21:I22"/>
    <mergeCell ref="J21:J22"/>
    <mergeCell ref="K21:K22"/>
    <mergeCell ref="U19:U20"/>
    <mergeCell ref="U21:U22"/>
    <mergeCell ref="AA19:AA20"/>
    <mergeCell ref="F23:F24"/>
    <mergeCell ref="F21:F22"/>
    <mergeCell ref="G21:G22"/>
    <mergeCell ref="H21:H22"/>
    <mergeCell ref="F25:F26"/>
    <mergeCell ref="G25:G26"/>
    <mergeCell ref="J19:J20"/>
    <mergeCell ref="K19:K20"/>
    <mergeCell ref="L19:L20"/>
    <mergeCell ref="F19:F20"/>
    <mergeCell ref="L21:L22"/>
    <mergeCell ref="I25:I26"/>
    <mergeCell ref="J25:J26"/>
    <mergeCell ref="K25:K26"/>
    <mergeCell ref="L25:L26"/>
    <mergeCell ref="G23:G24"/>
    <mergeCell ref="H23:H24"/>
    <mergeCell ref="I23:I24"/>
    <mergeCell ref="J23:J24"/>
    <mergeCell ref="K23:K24"/>
    <mergeCell ref="L23:L24"/>
    <mergeCell ref="AB25:AB26"/>
    <mergeCell ref="AC25:AC26"/>
    <mergeCell ref="AD25:AD26"/>
    <mergeCell ref="AE25:AE26"/>
    <mergeCell ref="AF25:AF26"/>
    <mergeCell ref="V25:V26"/>
    <mergeCell ref="W25:W26"/>
    <mergeCell ref="U25:U26"/>
    <mergeCell ref="H25:H26"/>
    <mergeCell ref="W45:W46"/>
    <mergeCell ref="X45:X46"/>
    <mergeCell ref="Y45:Y46"/>
    <mergeCell ref="Z45:Z46"/>
    <mergeCell ref="R46:S46"/>
    <mergeCell ref="M46:O46"/>
    <mergeCell ref="M45:T45"/>
    <mergeCell ref="U45:V46"/>
    <mergeCell ref="I43:I44"/>
    <mergeCell ref="J43:J44"/>
    <mergeCell ref="U43:U44"/>
    <mergeCell ref="V43:V44"/>
    <mergeCell ref="W43:W44"/>
    <mergeCell ref="X43:X44"/>
    <mergeCell ref="AE43:AE44"/>
    <mergeCell ref="AF43:AF44"/>
    <mergeCell ref="Y43:Y44"/>
    <mergeCell ref="C41:C42"/>
    <mergeCell ref="D41:D42"/>
    <mergeCell ref="A41:A42"/>
    <mergeCell ref="K43:K44"/>
    <mergeCell ref="L43:L44"/>
    <mergeCell ref="G43:G44"/>
    <mergeCell ref="H43:H44"/>
    <mergeCell ref="E41:E42"/>
    <mergeCell ref="U41:U42"/>
    <mergeCell ref="V41:V42"/>
    <mergeCell ref="W41:W42"/>
    <mergeCell ref="X41:X42"/>
    <mergeCell ref="A39:A40"/>
    <mergeCell ref="B39:B40"/>
    <mergeCell ref="B43:B44"/>
    <mergeCell ref="C43:C44"/>
    <mergeCell ref="D43:D44"/>
    <mergeCell ref="E43:E44"/>
    <mergeCell ref="F43:F44"/>
    <mergeCell ref="A43:A44"/>
    <mergeCell ref="AD41:AD42"/>
    <mergeCell ref="AA43:AA44"/>
    <mergeCell ref="Z43:Z44"/>
    <mergeCell ref="AC43:AC44"/>
    <mergeCell ref="AD43:AD44"/>
    <mergeCell ref="U39:U40"/>
    <mergeCell ref="V39:V40"/>
    <mergeCell ref="W39:W40"/>
    <mergeCell ref="X39:X40"/>
    <mergeCell ref="D33:D34"/>
    <mergeCell ref="E33:E34"/>
    <mergeCell ref="B35:B36"/>
    <mergeCell ref="A35:A36"/>
    <mergeCell ref="A31:A32"/>
    <mergeCell ref="A33:A34"/>
    <mergeCell ref="E31:E32"/>
    <mergeCell ref="F31:F32"/>
    <mergeCell ref="C35:C36"/>
    <mergeCell ref="D35:D36"/>
    <mergeCell ref="E35:E36"/>
    <mergeCell ref="F35:F36"/>
    <mergeCell ref="F33:F34"/>
    <mergeCell ref="A37:A38"/>
    <mergeCell ref="K31:K32"/>
    <mergeCell ref="L31:L32"/>
    <mergeCell ref="K33:K34"/>
    <mergeCell ref="L33:L34"/>
    <mergeCell ref="G31:G32"/>
    <mergeCell ref="H31:H32"/>
    <mergeCell ref="I31:I32"/>
    <mergeCell ref="J31:J32"/>
    <mergeCell ref="B31:B32"/>
    <mergeCell ref="C31:C32"/>
    <mergeCell ref="D31:D32"/>
    <mergeCell ref="I35:I36"/>
    <mergeCell ref="J35:J36"/>
    <mergeCell ref="B37:B38"/>
    <mergeCell ref="C37:C38"/>
    <mergeCell ref="D37:D38"/>
    <mergeCell ref="E37:E38"/>
    <mergeCell ref="F37:F38"/>
    <mergeCell ref="G37:G38"/>
    <mergeCell ref="G35:G36"/>
    <mergeCell ref="G33:G34"/>
    <mergeCell ref="B33:B34"/>
    <mergeCell ref="C33:C34"/>
    <mergeCell ref="V29:V30"/>
    <mergeCell ref="AE33:AE34"/>
    <mergeCell ref="AF33:AF34"/>
    <mergeCell ref="H35:H36"/>
    <mergeCell ref="AA31:AA32"/>
    <mergeCell ref="U31:U32"/>
    <mergeCell ref="V31:V32"/>
    <mergeCell ref="W31:W32"/>
    <mergeCell ref="X31:X32"/>
    <mergeCell ref="Y31:Y32"/>
    <mergeCell ref="Z31:Z32"/>
    <mergeCell ref="I33:I34"/>
    <mergeCell ref="J33:J34"/>
    <mergeCell ref="AB35:AB36"/>
    <mergeCell ref="AC35:AC36"/>
    <mergeCell ref="AD35:AD36"/>
    <mergeCell ref="AE35:AE36"/>
    <mergeCell ref="U33:U34"/>
    <mergeCell ref="V33:V34"/>
    <mergeCell ref="W33:W34"/>
    <mergeCell ref="X33:X34"/>
    <mergeCell ref="Y33:Y34"/>
    <mergeCell ref="Z33:Z34"/>
    <mergeCell ref="C29:C30"/>
    <mergeCell ref="D29:D30"/>
    <mergeCell ref="E29:E30"/>
    <mergeCell ref="F29:F30"/>
    <mergeCell ref="G29:G30"/>
    <mergeCell ref="B29:B30"/>
    <mergeCell ref="A29:A30"/>
    <mergeCell ref="AC33:AC34"/>
    <mergeCell ref="AD33:AD34"/>
    <mergeCell ref="H33:H34"/>
    <mergeCell ref="AB29:AB30"/>
    <mergeCell ref="AB33:AB34"/>
    <mergeCell ref="AA29:AA30"/>
    <mergeCell ref="AA33:AA34"/>
    <mergeCell ref="W29:W30"/>
    <mergeCell ref="X29:X30"/>
    <mergeCell ref="Y29:Y30"/>
    <mergeCell ref="Z29:Z30"/>
    <mergeCell ref="I29:I30"/>
    <mergeCell ref="J29:J30"/>
    <mergeCell ref="K29:K30"/>
    <mergeCell ref="L29:L30"/>
    <mergeCell ref="H29:H30"/>
    <mergeCell ref="U29:U30"/>
    <mergeCell ref="AA15:AA16"/>
    <mergeCell ref="AB15:AB16"/>
    <mergeCell ref="AC15:AC16"/>
    <mergeCell ref="AD15:AD16"/>
    <mergeCell ref="AE15:AE16"/>
    <mergeCell ref="AF15:AF16"/>
    <mergeCell ref="AC23:AC24"/>
    <mergeCell ref="AD23:AD24"/>
    <mergeCell ref="AE23:AE24"/>
    <mergeCell ref="AF23:AF24"/>
    <mergeCell ref="AB19:AB20"/>
    <mergeCell ref="AC21:AC22"/>
    <mergeCell ref="AD21:AD22"/>
    <mergeCell ref="AE21:AE22"/>
    <mergeCell ref="AF21:AF22"/>
    <mergeCell ref="AB21:AB22"/>
    <mergeCell ref="AA21:AA22"/>
    <mergeCell ref="AD11:AD12"/>
    <mergeCell ref="AE11:AE12"/>
    <mergeCell ref="AD9:AD10"/>
    <mergeCell ref="AE9:AE10"/>
    <mergeCell ref="AF9:AF10"/>
    <mergeCell ref="AA13:AA14"/>
    <mergeCell ref="AA11:AA12"/>
    <mergeCell ref="AA9:AA10"/>
    <mergeCell ref="AB9:AB10"/>
    <mergeCell ref="AC9:AC10"/>
    <mergeCell ref="AB13:AB14"/>
    <mergeCell ref="AC13:AC14"/>
    <mergeCell ref="AD13:AD14"/>
    <mergeCell ref="AE13:AE14"/>
    <mergeCell ref="AF13:AF14"/>
    <mergeCell ref="AC11:AC12"/>
    <mergeCell ref="AF11:AF12"/>
    <mergeCell ref="AB11:AB12"/>
    <mergeCell ref="J17:J18"/>
    <mergeCell ref="K17:K18"/>
    <mergeCell ref="H27:H28"/>
    <mergeCell ref="I27:I28"/>
    <mergeCell ref="J27:J28"/>
    <mergeCell ref="K27:K28"/>
    <mergeCell ref="L27:L28"/>
    <mergeCell ref="D9:D10"/>
    <mergeCell ref="C9:C10"/>
    <mergeCell ref="H17:H18"/>
    <mergeCell ref="I17:I18"/>
    <mergeCell ref="L17:L18"/>
    <mergeCell ref="G17:G18"/>
    <mergeCell ref="D27:D28"/>
    <mergeCell ref="E27:E28"/>
    <mergeCell ref="C25:C26"/>
    <mergeCell ref="G19:G20"/>
    <mergeCell ref="H19:H20"/>
    <mergeCell ref="D23:D24"/>
    <mergeCell ref="E23:E24"/>
    <mergeCell ref="C21:C22"/>
    <mergeCell ref="D21:D22"/>
    <mergeCell ref="D25:D26"/>
    <mergeCell ref="E25:E26"/>
    <mergeCell ref="B9:B10"/>
    <mergeCell ref="A9:A10"/>
    <mergeCell ref="L9:L10"/>
    <mergeCell ref="K9:K10"/>
    <mergeCell ref="J9:J10"/>
    <mergeCell ref="I9:I10"/>
    <mergeCell ref="H9:H10"/>
    <mergeCell ref="G9:G10"/>
    <mergeCell ref="H15:H16"/>
    <mergeCell ref="I15:I16"/>
    <mergeCell ref="J15:J16"/>
    <mergeCell ref="K15:K16"/>
    <mergeCell ref="L15:L16"/>
    <mergeCell ref="F9:F10"/>
    <mergeCell ref="E9:E10"/>
    <mergeCell ref="I13:I14"/>
    <mergeCell ref="I11:I12"/>
    <mergeCell ref="J11:J12"/>
    <mergeCell ref="K11:K12"/>
    <mergeCell ref="L11:L12"/>
    <mergeCell ref="G11:G12"/>
    <mergeCell ref="H11:H12"/>
    <mergeCell ref="C11:C12"/>
    <mergeCell ref="D11:D12"/>
    <mergeCell ref="Z11:Z12"/>
    <mergeCell ref="X9:X10"/>
    <mergeCell ref="Y9:Y10"/>
    <mergeCell ref="Z9:Z10"/>
    <mergeCell ref="X15:X16"/>
    <mergeCell ref="Y15:Y16"/>
    <mergeCell ref="Z15:Z16"/>
    <mergeCell ref="X13:X14"/>
    <mergeCell ref="Y13:Y14"/>
    <mergeCell ref="Z13:Z14"/>
    <mergeCell ref="X11:X12"/>
    <mergeCell ref="W9:W10"/>
    <mergeCell ref="V17:V18"/>
    <mergeCell ref="U17:U18"/>
    <mergeCell ref="U27:U28"/>
    <mergeCell ref="U15:U16"/>
    <mergeCell ref="V15:V16"/>
    <mergeCell ref="W15:W16"/>
    <mergeCell ref="W13:W14"/>
    <mergeCell ref="Y11:Y12"/>
    <mergeCell ref="W23:W24"/>
    <mergeCell ref="X23:X24"/>
    <mergeCell ref="X25:X26"/>
    <mergeCell ref="Y25:Y26"/>
    <mergeCell ref="W19:W20"/>
    <mergeCell ref="X19:X20"/>
    <mergeCell ref="Y19:Y20"/>
    <mergeCell ref="U23:U24"/>
    <mergeCell ref="V23:V24"/>
    <mergeCell ref="Y23:Y24"/>
    <mergeCell ref="V19:V20"/>
    <mergeCell ref="W21:W22"/>
    <mergeCell ref="V21:V22"/>
    <mergeCell ref="X21:X22"/>
    <mergeCell ref="Y21:Y22"/>
    <mergeCell ref="AD19:AD20"/>
    <mergeCell ref="AE19:AE20"/>
    <mergeCell ref="AF19:AF20"/>
    <mergeCell ref="Z19:Z20"/>
    <mergeCell ref="Z23:Z24"/>
    <mergeCell ref="W17:W18"/>
    <mergeCell ref="X17:X18"/>
    <mergeCell ref="Y17:Y18"/>
    <mergeCell ref="Z17:Z18"/>
    <mergeCell ref="AA23:AA24"/>
    <mergeCell ref="AB23:AB24"/>
    <mergeCell ref="AB17:AB18"/>
    <mergeCell ref="AC17:AC18"/>
    <mergeCell ref="AD17:AD18"/>
    <mergeCell ref="AE17:AE18"/>
    <mergeCell ref="AF17:AF18"/>
    <mergeCell ref="AA17:AA18"/>
    <mergeCell ref="Z21:Z22"/>
    <mergeCell ref="M7:T7"/>
    <mergeCell ref="G27:G28"/>
    <mergeCell ref="G15:G16"/>
    <mergeCell ref="H13:H14"/>
    <mergeCell ref="J13:J14"/>
    <mergeCell ref="K13:K14"/>
    <mergeCell ref="L13:L14"/>
    <mergeCell ref="G13:G14"/>
    <mergeCell ref="Z3:AC3"/>
    <mergeCell ref="AB27:AB28"/>
    <mergeCell ref="AC27:AC28"/>
    <mergeCell ref="V27:V28"/>
    <mergeCell ref="W27:W28"/>
    <mergeCell ref="X27:X28"/>
    <mergeCell ref="Y27:Y28"/>
    <mergeCell ref="Z27:Z28"/>
    <mergeCell ref="AA27:AA28"/>
    <mergeCell ref="Z25:Z26"/>
    <mergeCell ref="AA25:AA26"/>
    <mergeCell ref="AC19:AC20"/>
    <mergeCell ref="V13:V14"/>
    <mergeCell ref="U13:U14"/>
    <mergeCell ref="U9:U10"/>
    <mergeCell ref="V9:V10"/>
    <mergeCell ref="AD3:AE3"/>
    <mergeCell ref="M3:Q3"/>
    <mergeCell ref="M4:Q4"/>
    <mergeCell ref="W11:W12"/>
    <mergeCell ref="V11:V12"/>
    <mergeCell ref="A2:AF2"/>
    <mergeCell ref="J3:L3"/>
    <mergeCell ref="J4:L4"/>
    <mergeCell ref="Z4:AC4"/>
    <mergeCell ref="L7:L8"/>
    <mergeCell ref="A7:A8"/>
    <mergeCell ref="C7:D7"/>
    <mergeCell ref="V7:W7"/>
    <mergeCell ref="X7:Z7"/>
    <mergeCell ref="AC7:AD7"/>
    <mergeCell ref="AF7:AF8"/>
    <mergeCell ref="AA7:AA8"/>
    <mergeCell ref="AB7:AB8"/>
    <mergeCell ref="G7:I7"/>
    <mergeCell ref="J7:K7"/>
    <mergeCell ref="U11:U12"/>
    <mergeCell ref="U7:U8"/>
    <mergeCell ref="E7:E8"/>
    <mergeCell ref="F7:F8"/>
    <mergeCell ref="G49:H49"/>
    <mergeCell ref="G50:H50"/>
    <mergeCell ref="G51:H51"/>
    <mergeCell ref="G52:H52"/>
    <mergeCell ref="K45:L46"/>
    <mergeCell ref="G45:G46"/>
    <mergeCell ref="H45:H46"/>
    <mergeCell ref="I45:I46"/>
    <mergeCell ref="J45:J46"/>
    <mergeCell ref="F41:F42"/>
    <mergeCell ref="G41:G42"/>
    <mergeCell ref="H41:H42"/>
    <mergeCell ref="I41:I42"/>
    <mergeCell ref="J41:J42"/>
    <mergeCell ref="K41:K42"/>
    <mergeCell ref="L41:L42"/>
    <mergeCell ref="B41:B42"/>
    <mergeCell ref="E39:E40"/>
    <mergeCell ref="F39:F40"/>
    <mergeCell ref="I39:I40"/>
    <mergeCell ref="J39:J40"/>
    <mergeCell ref="K39:K40"/>
    <mergeCell ref="L39:L40"/>
    <mergeCell ref="C39:C40"/>
    <mergeCell ref="D39:D40"/>
    <mergeCell ref="G39:G40"/>
    <mergeCell ref="H39:H40"/>
    <mergeCell ref="AD27:AD28"/>
    <mergeCell ref="AE27:AE28"/>
    <mergeCell ref="AF27:AF28"/>
    <mergeCell ref="AB41:AB42"/>
    <mergeCell ref="AC41:AC42"/>
    <mergeCell ref="AC29:AC30"/>
    <mergeCell ref="AD29:AD30"/>
    <mergeCell ref="AE29:AE30"/>
    <mergeCell ref="AF29:AF30"/>
    <mergeCell ref="AB39:AB40"/>
    <mergeCell ref="AC39:AC40"/>
    <mergeCell ref="AD39:AD40"/>
    <mergeCell ref="AE39:AE40"/>
    <mergeCell ref="AF39:AF40"/>
    <mergeCell ref="AD37:AD38"/>
    <mergeCell ref="AE37:AE38"/>
    <mergeCell ref="AF37:AF38"/>
    <mergeCell ref="AD31:AD32"/>
    <mergeCell ref="AE31:AE32"/>
    <mergeCell ref="AF31:AF32"/>
    <mergeCell ref="AF35:AF36"/>
    <mergeCell ref="AE41:AE42"/>
    <mergeCell ref="AF41:AF42"/>
    <mergeCell ref="Y39:Y40"/>
    <mergeCell ref="Z39:Z40"/>
    <mergeCell ref="AB43:AB44"/>
    <mergeCell ref="AB37:AB38"/>
    <mergeCell ref="AC37:AC38"/>
    <mergeCell ref="Y37:Y38"/>
    <mergeCell ref="Z37:Z38"/>
    <mergeCell ref="AA37:AA38"/>
    <mergeCell ref="AA41:AA42"/>
    <mergeCell ref="Y41:Y42"/>
    <mergeCell ref="Z41:Z42"/>
    <mergeCell ref="AA39:AA40"/>
    <mergeCell ref="V37:V38"/>
    <mergeCell ref="W37:W38"/>
    <mergeCell ref="X37:X38"/>
    <mergeCell ref="H37:H38"/>
    <mergeCell ref="U37:U38"/>
    <mergeCell ref="K37:K38"/>
    <mergeCell ref="L37:L38"/>
    <mergeCell ref="AB31:AB32"/>
    <mergeCell ref="AC31:AC32"/>
    <mergeCell ref="V35:V36"/>
    <mergeCell ref="W35:W36"/>
    <mergeCell ref="X35:X36"/>
    <mergeCell ref="Y35:Y36"/>
    <mergeCell ref="Z35:Z36"/>
    <mergeCell ref="AA35:AA36"/>
    <mergeCell ref="K35:K36"/>
    <mergeCell ref="L35:L36"/>
    <mergeCell ref="U35:U36"/>
    <mergeCell ref="I37:I38"/>
    <mergeCell ref="J37:J38"/>
    <mergeCell ref="A27:A28"/>
    <mergeCell ref="C17:C18"/>
    <mergeCell ref="D17:D18"/>
    <mergeCell ref="E17:E18"/>
    <mergeCell ref="F17:F18"/>
    <mergeCell ref="B27:B28"/>
    <mergeCell ref="C27:C28"/>
    <mergeCell ref="F27:F28"/>
    <mergeCell ref="C13:C14"/>
    <mergeCell ref="D13:D14"/>
    <mergeCell ref="B25:B26"/>
    <mergeCell ref="A25:A26"/>
    <mergeCell ref="B23:B24"/>
    <mergeCell ref="B21:B22"/>
    <mergeCell ref="B19:B20"/>
    <mergeCell ref="A23:A24"/>
    <mergeCell ref="A19:A20"/>
    <mergeCell ref="A21:A22"/>
    <mergeCell ref="C19:C20"/>
    <mergeCell ref="D19:D20"/>
    <mergeCell ref="E19:E20"/>
    <mergeCell ref="C23:C24"/>
    <mergeCell ref="E21:E22"/>
    <mergeCell ref="B11:B12"/>
    <mergeCell ref="A11:A12"/>
    <mergeCell ref="A13:A14"/>
    <mergeCell ref="E13:E14"/>
    <mergeCell ref="F13:F14"/>
    <mergeCell ref="E11:E12"/>
    <mergeCell ref="F11:F12"/>
    <mergeCell ref="A15:A16"/>
    <mergeCell ref="A17:A18"/>
    <mergeCell ref="B17:B18"/>
    <mergeCell ref="B15:B16"/>
    <mergeCell ref="C15:C16"/>
    <mergeCell ref="D15:D16"/>
    <mergeCell ref="E15:E16"/>
    <mergeCell ref="F15:F16"/>
    <mergeCell ref="B13:B14"/>
  </mergeCells>
  <pageMargins left="0.7" right="0.7" top="0.75" bottom="0.75" header="0" footer="0"/>
  <pageSetup orientation="landscape"/>
  <headerFooter>
    <oddHeader>&amp;R&amp;D</oddHeader>
    <oddFooter>&amp;L    SOFEE Dr/ Ibrahim Helal&amp;R&amp;F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"/>
  <sheetViews>
    <sheetView workbookViewId="0"/>
  </sheetViews>
  <sheetFormatPr defaultColWidth="12.67578125" defaultRowHeight="15" customHeight="1" x14ac:dyDescent="0.15"/>
  <cols>
    <col min="1" max="1" width="14.15625" customWidth="1"/>
    <col min="2" max="2" width="27.23828125" customWidth="1"/>
    <col min="3" max="3" width="12.26953125" customWidth="1"/>
    <col min="4" max="6" width="11.59375" customWidth="1"/>
    <col min="7" max="9" width="16.85546875" customWidth="1"/>
    <col min="10" max="10" width="12" customWidth="1"/>
    <col min="11" max="11" width="11.32421875" customWidth="1"/>
    <col min="12" max="12" width="10.3828125" customWidth="1"/>
    <col min="13" max="13" width="3.7734375" customWidth="1"/>
    <col min="14" max="14" width="4.1796875" customWidth="1"/>
    <col min="15" max="18" width="3.7734375" customWidth="1"/>
    <col min="19" max="19" width="4.1796875" customWidth="1"/>
    <col min="20" max="20" width="4.3125" customWidth="1"/>
    <col min="21" max="21" width="10.3828125" customWidth="1"/>
    <col min="22" max="22" width="11.8671875" customWidth="1"/>
    <col min="23" max="23" width="11.32421875" customWidth="1"/>
    <col min="24" max="26" width="16.85546875" customWidth="1"/>
    <col min="27" max="27" width="11.59375" customWidth="1"/>
    <col min="28" max="28" width="11.0546875" customWidth="1"/>
    <col min="29" max="29" width="15.23828125" customWidth="1"/>
    <col min="30" max="30" width="12.26953125" customWidth="1"/>
    <col min="31" max="31" width="26.69921875" customWidth="1"/>
    <col min="32" max="32" width="13.6171875" customWidth="1"/>
  </cols>
  <sheetData>
    <row r="1" spans="1:32" ht="78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1" customHeight="1" x14ac:dyDescent="0.4">
      <c r="A2" s="105" t="s">
        <v>87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7"/>
    </row>
    <row r="3" spans="1:32" ht="27.75" customHeight="1" x14ac:dyDescent="0.25">
      <c r="A3" s="2"/>
      <c r="B3" s="3" t="s">
        <v>1</v>
      </c>
      <c r="C3" s="4"/>
      <c r="D3" s="5" t="s">
        <v>88</v>
      </c>
      <c r="E3" s="5"/>
      <c r="F3" s="5"/>
      <c r="G3" s="5"/>
      <c r="H3" s="5"/>
      <c r="I3" s="6"/>
      <c r="J3" s="108" t="s">
        <v>3</v>
      </c>
      <c r="K3" s="102"/>
      <c r="L3" s="102"/>
      <c r="M3" s="101" t="s">
        <v>4</v>
      </c>
      <c r="N3" s="102"/>
      <c r="O3" s="102"/>
      <c r="P3" s="102"/>
      <c r="Q3" s="102"/>
      <c r="R3" s="3"/>
      <c r="S3" s="3"/>
      <c r="T3" s="4"/>
      <c r="U3" s="7"/>
      <c r="V3" s="7"/>
      <c r="W3" s="6"/>
      <c r="X3" s="6"/>
      <c r="Y3" s="8"/>
      <c r="Z3" s="101" t="s">
        <v>5</v>
      </c>
      <c r="AA3" s="102"/>
      <c r="AB3" s="102"/>
      <c r="AC3" s="102"/>
      <c r="AD3" s="99" t="s">
        <v>89</v>
      </c>
      <c r="AE3" s="100"/>
      <c r="AF3" s="9"/>
    </row>
    <row r="4" spans="1:32" ht="31.5" customHeight="1" x14ac:dyDescent="0.25">
      <c r="A4" s="10"/>
      <c r="B4" s="11" t="s">
        <v>7</v>
      </c>
      <c r="C4" s="4"/>
      <c r="D4" s="12" t="s">
        <v>8</v>
      </c>
      <c r="E4" s="12"/>
      <c r="F4" s="12"/>
      <c r="G4" s="12"/>
      <c r="H4" s="12"/>
      <c r="I4" s="4"/>
      <c r="J4" s="86" t="s">
        <v>9</v>
      </c>
      <c r="K4" s="87"/>
      <c r="L4" s="87"/>
      <c r="M4" s="103" t="s">
        <v>90</v>
      </c>
      <c r="N4" s="104"/>
      <c r="O4" s="104"/>
      <c r="P4" s="104"/>
      <c r="Q4" s="104"/>
      <c r="R4" s="11"/>
      <c r="S4" s="11"/>
      <c r="T4" s="4"/>
      <c r="U4" s="13"/>
      <c r="V4" s="13"/>
      <c r="W4" s="4"/>
      <c r="X4" s="4"/>
      <c r="Y4" s="14"/>
      <c r="Z4" s="109" t="s">
        <v>11</v>
      </c>
      <c r="AA4" s="87"/>
      <c r="AB4" s="87"/>
      <c r="AC4" s="87"/>
      <c r="AD4" s="12" t="s">
        <v>91</v>
      </c>
      <c r="AE4" s="12"/>
      <c r="AF4" s="15"/>
    </row>
    <row r="5" spans="1:32" ht="31.5" customHeight="1" x14ac:dyDescent="0.25">
      <c r="A5" s="10"/>
      <c r="B5" s="11" t="s">
        <v>13</v>
      </c>
      <c r="C5" s="4"/>
      <c r="D5" s="12" t="s">
        <v>92</v>
      </c>
      <c r="E5" s="12"/>
      <c r="F5" s="12"/>
      <c r="G5" s="12"/>
      <c r="H5" s="12"/>
      <c r="I5" s="4"/>
      <c r="J5" s="4"/>
      <c r="K5" s="4"/>
      <c r="L5" s="14"/>
      <c r="M5" s="14"/>
      <c r="N5" s="14"/>
      <c r="O5" s="14"/>
      <c r="P5" s="14"/>
      <c r="Q5" s="14"/>
      <c r="R5" s="14"/>
      <c r="S5" s="14"/>
      <c r="T5" s="4"/>
      <c r="U5" s="14"/>
      <c r="V5" s="4"/>
      <c r="W5" s="4"/>
      <c r="X5" s="14"/>
      <c r="Y5" s="14"/>
      <c r="Z5" s="4"/>
      <c r="AA5" s="4"/>
      <c r="AB5" s="4"/>
      <c r="AC5" s="14"/>
      <c r="AD5" s="14"/>
      <c r="AE5" s="16"/>
      <c r="AF5" s="15"/>
    </row>
    <row r="6" spans="1:32" ht="29.25" customHeight="1" x14ac:dyDescent="0.25">
      <c r="A6" s="17"/>
      <c r="B6" s="18"/>
      <c r="C6" s="19"/>
      <c r="D6" s="19"/>
      <c r="E6" s="19"/>
      <c r="F6" s="19"/>
      <c r="G6" s="19"/>
      <c r="H6" s="19"/>
      <c r="I6" s="20"/>
      <c r="J6" s="20"/>
      <c r="K6" s="20"/>
      <c r="L6" s="20"/>
      <c r="M6" s="1"/>
      <c r="N6" s="1"/>
      <c r="O6" s="1"/>
      <c r="P6" s="1"/>
      <c r="Q6" s="1"/>
      <c r="R6" s="1"/>
      <c r="S6" s="1"/>
      <c r="T6" s="14"/>
      <c r="U6" s="20"/>
      <c r="V6" s="20"/>
      <c r="W6" s="20"/>
      <c r="X6" s="19"/>
      <c r="Y6" s="19"/>
      <c r="Z6" s="20"/>
      <c r="AA6" s="19"/>
      <c r="AB6" s="19"/>
      <c r="AC6" s="19"/>
      <c r="AD6" s="19"/>
      <c r="AE6" s="20"/>
      <c r="AF6" s="21"/>
    </row>
    <row r="7" spans="1:32" ht="63" customHeight="1" x14ac:dyDescent="0.25">
      <c r="A7" s="112" t="s">
        <v>15</v>
      </c>
      <c r="B7" s="22" t="s">
        <v>16</v>
      </c>
      <c r="C7" s="113" t="s">
        <v>17</v>
      </c>
      <c r="D7" s="107"/>
      <c r="E7" s="118" t="s">
        <v>18</v>
      </c>
      <c r="F7" s="115" t="s">
        <v>19</v>
      </c>
      <c r="G7" s="113" t="s">
        <v>20</v>
      </c>
      <c r="H7" s="106"/>
      <c r="I7" s="107"/>
      <c r="J7" s="114" t="s">
        <v>21</v>
      </c>
      <c r="K7" s="117"/>
      <c r="L7" s="110" t="s">
        <v>22</v>
      </c>
      <c r="M7" s="120" t="s">
        <v>23</v>
      </c>
      <c r="N7" s="102"/>
      <c r="O7" s="102"/>
      <c r="P7" s="102"/>
      <c r="Q7" s="102"/>
      <c r="R7" s="102"/>
      <c r="S7" s="102"/>
      <c r="T7" s="89"/>
      <c r="U7" s="110" t="s">
        <v>22</v>
      </c>
      <c r="V7" s="114" t="s">
        <v>21</v>
      </c>
      <c r="W7" s="107"/>
      <c r="X7" s="113" t="s">
        <v>20</v>
      </c>
      <c r="Y7" s="106"/>
      <c r="Z7" s="107"/>
      <c r="AA7" s="115" t="s">
        <v>19</v>
      </c>
      <c r="AB7" s="115" t="s">
        <v>18</v>
      </c>
      <c r="AC7" s="113" t="s">
        <v>17</v>
      </c>
      <c r="AD7" s="107"/>
      <c r="AE7" s="22" t="s">
        <v>16</v>
      </c>
      <c r="AF7" s="112" t="s">
        <v>15</v>
      </c>
    </row>
    <row r="8" spans="1:32" ht="53.25" customHeight="1" x14ac:dyDescent="0.15">
      <c r="A8" s="93"/>
      <c r="B8" s="22" t="s">
        <v>24</v>
      </c>
      <c r="C8" s="22" t="s">
        <v>25</v>
      </c>
      <c r="D8" s="22" t="s">
        <v>26</v>
      </c>
      <c r="E8" s="93"/>
      <c r="F8" s="72"/>
      <c r="G8" s="54" t="s">
        <v>27</v>
      </c>
      <c r="H8" s="55" t="s">
        <v>28</v>
      </c>
      <c r="I8" s="56" t="s">
        <v>29</v>
      </c>
      <c r="J8" s="22" t="s">
        <v>30</v>
      </c>
      <c r="K8" s="22" t="s">
        <v>31</v>
      </c>
      <c r="L8" s="93"/>
      <c r="M8" s="57"/>
      <c r="N8" s="57"/>
      <c r="O8" s="30" t="s">
        <v>27</v>
      </c>
      <c r="P8" s="30" t="s">
        <v>28</v>
      </c>
      <c r="Q8" s="30" t="s">
        <v>29</v>
      </c>
      <c r="R8" s="57"/>
      <c r="S8" s="57"/>
      <c r="T8" s="58"/>
      <c r="U8" s="93"/>
      <c r="V8" s="22" t="s">
        <v>31</v>
      </c>
      <c r="W8" s="22" t="s">
        <v>30</v>
      </c>
      <c r="X8" s="54" t="s">
        <v>27</v>
      </c>
      <c r="Y8" s="55" t="s">
        <v>28</v>
      </c>
      <c r="Z8" s="56" t="s">
        <v>29</v>
      </c>
      <c r="AA8" s="72"/>
      <c r="AB8" s="72"/>
      <c r="AC8" s="22" t="s">
        <v>26</v>
      </c>
      <c r="AD8" s="22" t="s">
        <v>25</v>
      </c>
      <c r="AE8" s="59" t="s">
        <v>24</v>
      </c>
      <c r="AF8" s="93"/>
    </row>
    <row r="9" spans="1:32" ht="21.75" customHeight="1" x14ac:dyDescent="0.15">
      <c r="A9" s="73">
        <v>20</v>
      </c>
      <c r="B9" s="74" t="s">
        <v>32</v>
      </c>
      <c r="C9" s="75">
        <v>1</v>
      </c>
      <c r="D9" s="75">
        <v>16</v>
      </c>
      <c r="E9" s="75">
        <v>10</v>
      </c>
      <c r="F9" s="75">
        <v>100</v>
      </c>
      <c r="G9" s="121">
        <f>E9*F9</f>
        <v>1000</v>
      </c>
      <c r="H9" s="80"/>
      <c r="I9" s="80"/>
      <c r="J9" s="75">
        <v>2.5</v>
      </c>
      <c r="K9" s="75">
        <v>2.5</v>
      </c>
      <c r="L9" s="123">
        <v>1</v>
      </c>
      <c r="M9" s="33"/>
      <c r="N9" s="34"/>
      <c r="O9" s="35"/>
      <c r="P9" s="36"/>
      <c r="Q9" s="35"/>
      <c r="R9" s="37"/>
      <c r="S9" s="34"/>
      <c r="T9" s="33"/>
      <c r="U9" s="122">
        <v>2</v>
      </c>
      <c r="V9" s="75">
        <v>2.5</v>
      </c>
      <c r="W9" s="75">
        <v>2.5</v>
      </c>
      <c r="X9" s="121">
        <f>AA9*AB9</f>
        <v>1100</v>
      </c>
      <c r="Y9" s="80"/>
      <c r="Z9" s="80"/>
      <c r="AA9" s="75">
        <v>100</v>
      </c>
      <c r="AB9" s="75">
        <v>11</v>
      </c>
      <c r="AC9" s="75">
        <v>16</v>
      </c>
      <c r="AD9" s="75">
        <v>1</v>
      </c>
      <c r="AE9" s="74" t="s">
        <v>33</v>
      </c>
      <c r="AF9" s="83">
        <v>20</v>
      </c>
    </row>
    <row r="10" spans="1:32" ht="18.75" customHeight="1" x14ac:dyDescent="0.15">
      <c r="A10" s="69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84"/>
      <c r="M10" s="34"/>
      <c r="N10" s="34"/>
      <c r="O10" s="38"/>
      <c r="P10" s="39"/>
      <c r="Q10" s="38"/>
      <c r="R10" s="34"/>
      <c r="S10" s="34"/>
      <c r="T10" s="34"/>
      <c r="U10" s="69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84"/>
    </row>
    <row r="11" spans="1:32" ht="21.75" customHeight="1" x14ac:dyDescent="0.15">
      <c r="A11" s="68">
        <v>20</v>
      </c>
      <c r="B11" s="66" t="s">
        <v>34</v>
      </c>
      <c r="C11" s="71">
        <v>1</v>
      </c>
      <c r="D11" s="71">
        <v>16</v>
      </c>
      <c r="E11" s="71">
        <v>10</v>
      </c>
      <c r="F11" s="71">
        <v>100</v>
      </c>
      <c r="G11" s="76"/>
      <c r="H11" s="82">
        <f>E11*F11</f>
        <v>1000</v>
      </c>
      <c r="I11" s="76"/>
      <c r="J11" s="71">
        <v>2.5</v>
      </c>
      <c r="K11" s="71">
        <v>2.5</v>
      </c>
      <c r="L11" s="78">
        <v>3</v>
      </c>
      <c r="M11" s="33"/>
      <c r="N11" s="34"/>
      <c r="O11" s="35"/>
      <c r="P11" s="36"/>
      <c r="Q11" s="35"/>
      <c r="R11" s="37"/>
      <c r="S11" s="34"/>
      <c r="T11" s="33"/>
      <c r="U11" s="77">
        <v>4</v>
      </c>
      <c r="V11" s="71">
        <v>2.5</v>
      </c>
      <c r="W11" s="71">
        <v>4</v>
      </c>
      <c r="X11" s="76"/>
      <c r="Y11" s="82">
        <f>AA11*AB11</f>
        <v>540</v>
      </c>
      <c r="Z11" s="76"/>
      <c r="AA11" s="71">
        <v>180</v>
      </c>
      <c r="AB11" s="71">
        <v>3</v>
      </c>
      <c r="AC11" s="71">
        <v>20</v>
      </c>
      <c r="AD11" s="71">
        <v>1</v>
      </c>
      <c r="AE11" s="66" t="s">
        <v>43</v>
      </c>
      <c r="AF11" s="85">
        <v>20</v>
      </c>
    </row>
    <row r="12" spans="1:32" ht="18.75" customHeight="1" x14ac:dyDescent="0.15">
      <c r="A12" s="69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84"/>
      <c r="M12" s="34"/>
      <c r="N12" s="34"/>
      <c r="O12" s="38"/>
      <c r="P12" s="39"/>
      <c r="Q12" s="38"/>
      <c r="R12" s="34"/>
      <c r="S12" s="34"/>
      <c r="T12" s="34"/>
      <c r="U12" s="69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84"/>
    </row>
    <row r="13" spans="1:32" ht="21.75" customHeight="1" x14ac:dyDescent="0.15">
      <c r="A13" s="68">
        <v>20</v>
      </c>
      <c r="B13" s="66" t="s">
        <v>42</v>
      </c>
      <c r="C13" s="71">
        <v>1</v>
      </c>
      <c r="D13" s="71">
        <v>20</v>
      </c>
      <c r="E13" s="71">
        <v>4</v>
      </c>
      <c r="F13" s="71">
        <v>180</v>
      </c>
      <c r="G13" s="76"/>
      <c r="H13" s="76"/>
      <c r="I13" s="81">
        <f>E13*F13</f>
        <v>720</v>
      </c>
      <c r="J13" s="71">
        <v>4</v>
      </c>
      <c r="K13" s="71">
        <v>2.5</v>
      </c>
      <c r="L13" s="78">
        <v>5</v>
      </c>
      <c r="M13" s="33"/>
      <c r="N13" s="34"/>
      <c r="O13" s="35"/>
      <c r="P13" s="36"/>
      <c r="Q13" s="35"/>
      <c r="R13" s="33"/>
      <c r="S13" s="34"/>
      <c r="T13" s="33"/>
      <c r="U13" s="77">
        <v>6</v>
      </c>
      <c r="V13" s="71">
        <v>2.5</v>
      </c>
      <c r="W13" s="71">
        <v>4</v>
      </c>
      <c r="X13" s="76"/>
      <c r="Y13" s="76"/>
      <c r="Z13" s="81">
        <v>800</v>
      </c>
      <c r="AA13" s="71">
        <v>600</v>
      </c>
      <c r="AB13" s="71">
        <v>1</v>
      </c>
      <c r="AC13" s="71">
        <v>20</v>
      </c>
      <c r="AD13" s="71">
        <v>1</v>
      </c>
      <c r="AE13" s="66" t="s">
        <v>45</v>
      </c>
      <c r="AF13" s="85">
        <v>20</v>
      </c>
    </row>
    <row r="14" spans="1:32" ht="18.75" customHeight="1" x14ac:dyDescent="0.15">
      <c r="A14" s="70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9"/>
      <c r="M14" s="34"/>
      <c r="N14" s="34"/>
      <c r="O14" s="38"/>
      <c r="P14" s="39"/>
      <c r="Q14" s="38"/>
      <c r="R14" s="34"/>
      <c r="S14" s="34"/>
      <c r="T14" s="34"/>
      <c r="U14" s="70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9"/>
    </row>
    <row r="15" spans="1:32" ht="21.75" customHeight="1" x14ac:dyDescent="0.15">
      <c r="A15" s="73">
        <v>20</v>
      </c>
      <c r="B15" s="74" t="s">
        <v>93</v>
      </c>
      <c r="C15" s="75">
        <v>1</v>
      </c>
      <c r="D15" s="75"/>
      <c r="E15" s="75"/>
      <c r="F15" s="75"/>
      <c r="G15" s="121">
        <f>E15*F15</f>
        <v>0</v>
      </c>
      <c r="H15" s="80"/>
      <c r="I15" s="80"/>
      <c r="J15" s="75"/>
      <c r="K15" s="75"/>
      <c r="L15" s="123">
        <v>7</v>
      </c>
      <c r="M15" s="33"/>
      <c r="N15" s="34"/>
      <c r="O15" s="35"/>
      <c r="P15" s="36"/>
      <c r="Q15" s="35"/>
      <c r="R15" s="37"/>
      <c r="S15" s="34"/>
      <c r="T15" s="33"/>
      <c r="U15" s="122">
        <v>8</v>
      </c>
      <c r="V15" s="75">
        <v>2.5</v>
      </c>
      <c r="W15" s="75">
        <v>2.5</v>
      </c>
      <c r="X15" s="121">
        <f>AA15*AB15</f>
        <v>50</v>
      </c>
      <c r="Y15" s="80"/>
      <c r="Z15" s="80"/>
      <c r="AA15" s="75">
        <v>50</v>
      </c>
      <c r="AB15" s="75">
        <v>1</v>
      </c>
      <c r="AC15" s="75">
        <v>16</v>
      </c>
      <c r="AD15" s="75">
        <v>1</v>
      </c>
      <c r="AE15" s="74" t="s">
        <v>41</v>
      </c>
      <c r="AF15" s="83">
        <v>20</v>
      </c>
    </row>
    <row r="16" spans="1:32" ht="18.75" customHeight="1" x14ac:dyDescent="0.15">
      <c r="A16" s="69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84"/>
      <c r="M16" s="34"/>
      <c r="N16" s="34"/>
      <c r="O16" s="38"/>
      <c r="P16" s="39"/>
      <c r="Q16" s="38"/>
      <c r="R16" s="34"/>
      <c r="S16" s="34"/>
      <c r="T16" s="34"/>
      <c r="U16" s="69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84"/>
    </row>
    <row r="17" spans="1:32" ht="21.75" customHeight="1" x14ac:dyDescent="0.15">
      <c r="A17" s="68">
        <v>20</v>
      </c>
      <c r="B17" s="66" t="s">
        <v>44</v>
      </c>
      <c r="C17" s="71">
        <v>1</v>
      </c>
      <c r="D17" s="71">
        <v>20</v>
      </c>
      <c r="E17" s="71">
        <v>5</v>
      </c>
      <c r="F17" s="71">
        <v>180</v>
      </c>
      <c r="G17" s="76"/>
      <c r="H17" s="82">
        <f>E17*F17</f>
        <v>900</v>
      </c>
      <c r="I17" s="76"/>
      <c r="J17" s="71">
        <v>4</v>
      </c>
      <c r="K17" s="71">
        <v>2.5</v>
      </c>
      <c r="L17" s="78">
        <v>9</v>
      </c>
      <c r="M17" s="33"/>
      <c r="N17" s="34"/>
      <c r="O17" s="35"/>
      <c r="P17" s="36"/>
      <c r="Q17" s="35"/>
      <c r="R17" s="37"/>
      <c r="S17" s="34"/>
      <c r="T17" s="33"/>
      <c r="U17" s="77">
        <v>10</v>
      </c>
      <c r="V17" s="71"/>
      <c r="W17" s="71"/>
      <c r="X17" s="76"/>
      <c r="Y17" s="82">
        <f>AA17*AB17</f>
        <v>0</v>
      </c>
      <c r="Z17" s="76"/>
      <c r="AA17" s="71"/>
      <c r="AB17" s="71"/>
      <c r="AC17" s="71"/>
      <c r="AD17" s="71"/>
      <c r="AE17" s="66" t="s">
        <v>63</v>
      </c>
      <c r="AF17" s="85"/>
    </row>
    <row r="18" spans="1:32" ht="18.75" customHeight="1" x14ac:dyDescent="0.15">
      <c r="A18" s="69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84"/>
      <c r="M18" s="34"/>
      <c r="N18" s="34"/>
      <c r="O18" s="38"/>
      <c r="P18" s="39"/>
      <c r="Q18" s="38"/>
      <c r="R18" s="34"/>
      <c r="S18" s="34"/>
      <c r="T18" s="34"/>
      <c r="U18" s="69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84"/>
    </row>
    <row r="19" spans="1:32" ht="21.75" customHeight="1" x14ac:dyDescent="0.15">
      <c r="A19" s="68"/>
      <c r="B19" s="66" t="s">
        <v>64</v>
      </c>
      <c r="C19" s="71">
        <v>1</v>
      </c>
      <c r="D19" s="71"/>
      <c r="E19" s="71"/>
      <c r="F19" s="71"/>
      <c r="G19" s="76"/>
      <c r="H19" s="76"/>
      <c r="I19" s="81">
        <f>E19*F19</f>
        <v>0</v>
      </c>
      <c r="J19" s="71"/>
      <c r="K19" s="71"/>
      <c r="L19" s="78">
        <v>11</v>
      </c>
      <c r="M19" s="33"/>
      <c r="N19" s="34"/>
      <c r="O19" s="35"/>
      <c r="P19" s="36"/>
      <c r="Q19" s="35"/>
      <c r="R19" s="33"/>
      <c r="S19" s="34"/>
      <c r="T19" s="33"/>
      <c r="U19" s="77">
        <v>12</v>
      </c>
      <c r="V19" s="71"/>
      <c r="W19" s="71"/>
      <c r="X19" s="76"/>
      <c r="Y19" s="76"/>
      <c r="Z19" s="81">
        <f>AA19*AB19</f>
        <v>0</v>
      </c>
      <c r="AA19" s="71"/>
      <c r="AB19" s="71"/>
      <c r="AC19" s="71"/>
      <c r="AD19" s="71"/>
      <c r="AE19" s="66" t="s">
        <v>63</v>
      </c>
      <c r="AF19" s="85"/>
    </row>
    <row r="20" spans="1:32" ht="18.75" customHeight="1" x14ac:dyDescent="0.15">
      <c r="A20" s="70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9"/>
      <c r="M20" s="34"/>
      <c r="N20" s="34"/>
      <c r="O20" s="38"/>
      <c r="P20" s="39"/>
      <c r="Q20" s="38"/>
      <c r="R20" s="34"/>
      <c r="S20" s="34"/>
      <c r="T20" s="34"/>
      <c r="U20" s="70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9"/>
    </row>
    <row r="21" spans="1:32" ht="20.25" customHeight="1" x14ac:dyDescent="0.15">
      <c r="A21" s="40"/>
      <c r="B21" s="1"/>
      <c r="C21" s="34"/>
      <c r="D21" s="34"/>
      <c r="E21" s="34"/>
      <c r="F21" s="34"/>
      <c r="G21" s="128">
        <f t="shared" ref="G21:I21" si="0">SUM(G9:G19)</f>
        <v>1000</v>
      </c>
      <c r="H21" s="129">
        <f t="shared" si="0"/>
        <v>1900</v>
      </c>
      <c r="I21" s="130">
        <f t="shared" si="0"/>
        <v>720</v>
      </c>
      <c r="J21" s="131"/>
      <c r="K21" s="126" t="s">
        <v>65</v>
      </c>
      <c r="L21" s="127"/>
      <c r="M21" s="88"/>
      <c r="N21" s="102"/>
      <c r="O21" s="102"/>
      <c r="P21" s="102"/>
      <c r="Q21" s="102"/>
      <c r="R21" s="102"/>
      <c r="S21" s="102"/>
      <c r="T21" s="89"/>
      <c r="U21" s="126" t="s">
        <v>65</v>
      </c>
      <c r="V21" s="127"/>
      <c r="W21" s="131"/>
      <c r="X21" s="128">
        <f t="shared" ref="X21:Z21" si="1">SUM(X9:X19)</f>
        <v>1150</v>
      </c>
      <c r="Y21" s="129">
        <f t="shared" si="1"/>
        <v>540</v>
      </c>
      <c r="Z21" s="130">
        <f t="shared" si="1"/>
        <v>800</v>
      </c>
      <c r="AA21" s="34"/>
      <c r="AB21" s="34"/>
      <c r="AC21" s="34"/>
      <c r="AD21" s="34"/>
      <c r="AE21" s="1"/>
      <c r="AF21" s="41"/>
    </row>
    <row r="22" spans="1:32" ht="20.25" customHeight="1" x14ac:dyDescent="0.15">
      <c r="A22" s="40"/>
      <c r="B22" s="1"/>
      <c r="C22" s="34"/>
      <c r="D22" s="34"/>
      <c r="E22" s="34"/>
      <c r="F22" s="34"/>
      <c r="G22" s="93"/>
      <c r="H22" s="95"/>
      <c r="I22" s="93"/>
      <c r="J22" s="98"/>
      <c r="K22" s="90"/>
      <c r="L22" s="91"/>
      <c r="M22" s="125" t="s">
        <v>31</v>
      </c>
      <c r="N22" s="98"/>
      <c r="O22" s="98"/>
      <c r="P22" s="20"/>
      <c r="Q22" s="20"/>
      <c r="R22" s="124" t="s">
        <v>66</v>
      </c>
      <c r="S22" s="98"/>
      <c r="T22" s="60"/>
      <c r="U22" s="90"/>
      <c r="V22" s="91"/>
      <c r="W22" s="98"/>
      <c r="X22" s="93"/>
      <c r="Y22" s="95"/>
      <c r="Z22" s="93"/>
      <c r="AA22" s="34"/>
      <c r="AB22" s="34"/>
      <c r="AC22" s="34"/>
      <c r="AD22" s="34"/>
      <c r="AE22" s="1"/>
      <c r="AF22" s="41"/>
    </row>
    <row r="23" spans="1:32" ht="36.75" customHeight="1" x14ac:dyDescent="0.15">
      <c r="A23" s="40"/>
      <c r="B23" s="1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1"/>
      <c r="AF23" s="41"/>
    </row>
    <row r="24" spans="1:32" ht="31.5" customHeight="1" x14ac:dyDescent="0.25">
      <c r="A24" s="40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43"/>
      <c r="AA24" s="43"/>
      <c r="AB24" s="43" t="s">
        <v>67</v>
      </c>
      <c r="AC24" s="43"/>
      <c r="AD24" s="43"/>
      <c r="AE24" s="44">
        <v>50</v>
      </c>
      <c r="AF24" s="45" t="s">
        <v>68</v>
      </c>
    </row>
    <row r="25" spans="1:32" ht="36.75" customHeight="1" x14ac:dyDescent="0.25">
      <c r="A25" s="13" t="s">
        <v>69</v>
      </c>
      <c r="B25" s="46">
        <f>G21+X21</f>
        <v>2150</v>
      </c>
      <c r="C25" s="11" t="s">
        <v>70</v>
      </c>
      <c r="D25" s="1"/>
      <c r="E25" s="1"/>
      <c r="F25" s="1"/>
      <c r="G25" s="86" t="s">
        <v>71</v>
      </c>
      <c r="H25" s="87"/>
      <c r="I25" s="43" t="s">
        <v>94</v>
      </c>
      <c r="J25" s="43"/>
      <c r="K25" s="4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43"/>
      <c r="AA25" s="43"/>
      <c r="AB25" s="43" t="s">
        <v>73</v>
      </c>
      <c r="AC25" s="43"/>
      <c r="AD25" s="43"/>
      <c r="AE25" s="47">
        <f>(B28*AE24)/(1000*100)</f>
        <v>3.0550000000000002</v>
      </c>
      <c r="AF25" s="45" t="s">
        <v>74</v>
      </c>
    </row>
    <row r="26" spans="1:32" ht="36.75" customHeight="1" x14ac:dyDescent="0.25">
      <c r="A26" s="48" t="s">
        <v>75</v>
      </c>
      <c r="B26" s="49">
        <f>H21+Y21</f>
        <v>2440</v>
      </c>
      <c r="C26" s="11" t="s">
        <v>70</v>
      </c>
      <c r="D26" s="1"/>
      <c r="E26" s="1"/>
      <c r="F26" s="1"/>
      <c r="G26" s="86" t="s">
        <v>76</v>
      </c>
      <c r="H26" s="87"/>
      <c r="I26" s="43" t="s">
        <v>77</v>
      </c>
      <c r="J26" s="43"/>
      <c r="K26" s="4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43"/>
      <c r="AA26" s="43"/>
      <c r="AB26" s="43" t="s">
        <v>78</v>
      </c>
      <c r="AC26" s="43"/>
      <c r="AD26" s="43"/>
      <c r="AE26" s="47">
        <f>AE25*0.2</f>
        <v>0.6110000000000001</v>
      </c>
      <c r="AF26" s="45" t="s">
        <v>74</v>
      </c>
    </row>
    <row r="27" spans="1:32" ht="36.75" customHeight="1" x14ac:dyDescent="0.25">
      <c r="A27" s="48" t="s">
        <v>79</v>
      </c>
      <c r="B27" s="50">
        <f>I21+Z21</f>
        <v>1520</v>
      </c>
      <c r="C27" s="11" t="s">
        <v>70</v>
      </c>
      <c r="D27" s="1"/>
      <c r="E27" s="1"/>
      <c r="F27" s="1"/>
      <c r="G27" s="86" t="s">
        <v>80</v>
      </c>
      <c r="H27" s="87"/>
      <c r="I27" s="43" t="s">
        <v>95</v>
      </c>
      <c r="J27" s="43"/>
      <c r="K27" s="4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43"/>
      <c r="AA27" s="43"/>
      <c r="AB27" s="43" t="s">
        <v>82</v>
      </c>
      <c r="AC27" s="43"/>
      <c r="AD27" s="43"/>
      <c r="AE27" s="47">
        <f>AE25+AE26</f>
        <v>3.6660000000000004</v>
      </c>
      <c r="AF27" s="45" t="s">
        <v>74</v>
      </c>
    </row>
    <row r="28" spans="1:32" ht="36.75" customHeight="1" x14ac:dyDescent="0.3">
      <c r="A28" s="48" t="s">
        <v>65</v>
      </c>
      <c r="B28" s="51">
        <f>B25+B26+B27</f>
        <v>6110</v>
      </c>
      <c r="C28" s="11" t="s">
        <v>70</v>
      </c>
      <c r="D28" s="1"/>
      <c r="E28" s="1"/>
      <c r="F28" s="1"/>
      <c r="G28" s="86" t="s">
        <v>83</v>
      </c>
      <c r="H28" s="87"/>
      <c r="I28" s="43" t="s">
        <v>84</v>
      </c>
      <c r="J28" s="43"/>
      <c r="K28" s="4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43"/>
      <c r="AA28" s="43"/>
      <c r="AB28" s="52" t="s">
        <v>85</v>
      </c>
      <c r="AC28" s="43"/>
      <c r="AD28" s="43"/>
      <c r="AE28" s="53">
        <f>AE27*1000/(380*1.73)</f>
        <v>5.5765135381807127</v>
      </c>
      <c r="AF28" s="45" t="s">
        <v>86</v>
      </c>
    </row>
    <row r="29" spans="1:32" ht="24.75" customHeight="1" x14ac:dyDescent="0.15">
      <c r="A29" s="17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1"/>
    </row>
    <row r="30" spans="1:32" ht="36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30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30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30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4.2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30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30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30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30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4.2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4.2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4.2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4.2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4.2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4.2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4.2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4.2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4.2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4.2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4.2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4.2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4.2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4.2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4.2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4.2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4.2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4.2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4.2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4.2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4.2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4.2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4.2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4.2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4.2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4.2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4.2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4.2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4.2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4.2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4.2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4.2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4.2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4.2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4.2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4.2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4.2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4.2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4.2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4.2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4.2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4.2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4.2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4.2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4.2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4.2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4.2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4.2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4.2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4.2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4.2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4.2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4.2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4.2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4.2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4.2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4.2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4.2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4.2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4.2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4.2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4.2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</sheetData>
  <mergeCells count="184">
    <mergeCell ref="AE19:AE20"/>
    <mergeCell ref="AF19:AF20"/>
    <mergeCell ref="V19:V20"/>
    <mergeCell ref="W19:W20"/>
    <mergeCell ref="X19:X20"/>
    <mergeCell ref="Y19:Y20"/>
    <mergeCell ref="X21:X22"/>
    <mergeCell ref="Y21:Y22"/>
    <mergeCell ref="H19:H20"/>
    <mergeCell ref="H21:H22"/>
    <mergeCell ref="I21:I22"/>
    <mergeCell ref="J21:J22"/>
    <mergeCell ref="AA19:AA20"/>
    <mergeCell ref="I19:I20"/>
    <mergeCell ref="J19:J20"/>
    <mergeCell ref="Z21:Z22"/>
    <mergeCell ref="U21:V22"/>
    <mergeCell ref="W21:W22"/>
    <mergeCell ref="A19:A20"/>
    <mergeCell ref="B19:B20"/>
    <mergeCell ref="C19:C20"/>
    <mergeCell ref="D19:D20"/>
    <mergeCell ref="E19:E20"/>
    <mergeCell ref="F19:F20"/>
    <mergeCell ref="X17:X18"/>
    <mergeCell ref="Y17:Y18"/>
    <mergeCell ref="AA17:AA18"/>
    <mergeCell ref="A17:A18"/>
    <mergeCell ref="U19:U20"/>
    <mergeCell ref="Z19:Z20"/>
    <mergeCell ref="G19:G20"/>
    <mergeCell ref="AE17:AE18"/>
    <mergeCell ref="AF17:AF18"/>
    <mergeCell ref="U17:U18"/>
    <mergeCell ref="Z17:Z18"/>
    <mergeCell ref="V17:V18"/>
    <mergeCell ref="U15:U16"/>
    <mergeCell ref="V15:V16"/>
    <mergeCell ref="W15:W16"/>
    <mergeCell ref="X15:X16"/>
    <mergeCell ref="Y15:Y16"/>
    <mergeCell ref="Z15:Z16"/>
    <mergeCell ref="W17:W18"/>
    <mergeCell ref="AA15:AA16"/>
    <mergeCell ref="AB15:AB16"/>
    <mergeCell ref="AC15:AC16"/>
    <mergeCell ref="AD15:AD16"/>
    <mergeCell ref="AE15:AE16"/>
    <mergeCell ref="AF15:AF16"/>
    <mergeCell ref="E15:E16"/>
    <mergeCell ref="G27:H27"/>
    <mergeCell ref="G28:H28"/>
    <mergeCell ref="G25:H25"/>
    <mergeCell ref="G26:H26"/>
    <mergeCell ref="F15:F16"/>
    <mergeCell ref="AB17:AB18"/>
    <mergeCell ref="AC17:AC18"/>
    <mergeCell ref="AD17:AD18"/>
    <mergeCell ref="AB19:AB20"/>
    <mergeCell ref="AC19:AC20"/>
    <mergeCell ref="AD19:AD20"/>
    <mergeCell ref="G21:G22"/>
    <mergeCell ref="M22:O22"/>
    <mergeCell ref="M21:T21"/>
    <mergeCell ref="K19:K20"/>
    <mergeCell ref="L19:L20"/>
    <mergeCell ref="K17:K18"/>
    <mergeCell ref="L17:L18"/>
    <mergeCell ref="R22:S22"/>
    <mergeCell ref="K21:L22"/>
    <mergeCell ref="K13:K14"/>
    <mergeCell ref="L13:L14"/>
    <mergeCell ref="K15:K16"/>
    <mergeCell ref="L15:L16"/>
    <mergeCell ref="G17:G18"/>
    <mergeCell ref="H17:H18"/>
    <mergeCell ref="I17:I18"/>
    <mergeCell ref="J17:J18"/>
    <mergeCell ref="G15:G16"/>
    <mergeCell ref="J15:J16"/>
    <mergeCell ref="AA11:AA12"/>
    <mergeCell ref="X11:X12"/>
    <mergeCell ref="A13:A14"/>
    <mergeCell ref="B13:B14"/>
    <mergeCell ref="C13:C14"/>
    <mergeCell ref="D13:D14"/>
    <mergeCell ref="E13:E14"/>
    <mergeCell ref="B17:B18"/>
    <mergeCell ref="E17:E18"/>
    <mergeCell ref="C17:C18"/>
    <mergeCell ref="D17:D18"/>
    <mergeCell ref="F17:F18"/>
    <mergeCell ref="H15:H16"/>
    <mergeCell ref="I15:I16"/>
    <mergeCell ref="A15:A16"/>
    <mergeCell ref="B15:B16"/>
    <mergeCell ref="C15:C16"/>
    <mergeCell ref="D15:D16"/>
    <mergeCell ref="AD11:AD12"/>
    <mergeCell ref="AE11:AE12"/>
    <mergeCell ref="AF11:AF12"/>
    <mergeCell ref="Z11:Z12"/>
    <mergeCell ref="AF9:AF10"/>
    <mergeCell ref="AF7:AF8"/>
    <mergeCell ref="U7:U8"/>
    <mergeCell ref="V7:W7"/>
    <mergeCell ref="AA9:AA10"/>
    <mergeCell ref="AA7:AA8"/>
    <mergeCell ref="Y11:Y12"/>
    <mergeCell ref="AB9:AB10"/>
    <mergeCell ref="AC9:AC10"/>
    <mergeCell ref="AD9:AD10"/>
    <mergeCell ref="AE9:AE10"/>
    <mergeCell ref="AC7:AD7"/>
    <mergeCell ref="X7:Z7"/>
    <mergeCell ref="AB7:AB8"/>
    <mergeCell ref="V11:V12"/>
    <mergeCell ref="W11:W12"/>
    <mergeCell ref="U9:U10"/>
    <mergeCell ref="V9:V10"/>
    <mergeCell ref="A9:A10"/>
    <mergeCell ref="B9:B10"/>
    <mergeCell ref="A7:A8"/>
    <mergeCell ref="C9:C10"/>
    <mergeCell ref="D9:D10"/>
    <mergeCell ref="C7:D7"/>
    <mergeCell ref="A11:A12"/>
    <mergeCell ref="B11:B12"/>
    <mergeCell ref="C11:C12"/>
    <mergeCell ref="D11:D12"/>
    <mergeCell ref="E11:E12"/>
    <mergeCell ref="G9:G10"/>
    <mergeCell ref="H9:H10"/>
    <mergeCell ref="E9:E10"/>
    <mergeCell ref="F9:F10"/>
    <mergeCell ref="L7:L8"/>
    <mergeCell ref="E7:E8"/>
    <mergeCell ref="F7:F8"/>
    <mergeCell ref="G7:I7"/>
    <mergeCell ref="J7:K7"/>
    <mergeCell ref="M3:Q3"/>
    <mergeCell ref="M4:Q4"/>
    <mergeCell ref="M7:T7"/>
    <mergeCell ref="A2:AF2"/>
    <mergeCell ref="J3:L3"/>
    <mergeCell ref="Z3:AC3"/>
    <mergeCell ref="AD3:AE3"/>
    <mergeCell ref="J4:L4"/>
    <mergeCell ref="Z4:AC4"/>
    <mergeCell ref="AD13:AD14"/>
    <mergeCell ref="AE13:AE14"/>
    <mergeCell ref="G13:G14"/>
    <mergeCell ref="H13:H14"/>
    <mergeCell ref="AF13:AF14"/>
    <mergeCell ref="F13:F14"/>
    <mergeCell ref="AA13:AA14"/>
    <mergeCell ref="U13:U14"/>
    <mergeCell ref="V13:V14"/>
    <mergeCell ref="W13:W14"/>
    <mergeCell ref="X13:X14"/>
    <mergeCell ref="Y13:Y14"/>
    <mergeCell ref="Z13:Z14"/>
    <mergeCell ref="I13:I14"/>
    <mergeCell ref="J13:J14"/>
    <mergeCell ref="G11:G12"/>
    <mergeCell ref="H11:H12"/>
    <mergeCell ref="I11:I12"/>
    <mergeCell ref="J11:J12"/>
    <mergeCell ref="K11:K12"/>
    <mergeCell ref="L11:L12"/>
    <mergeCell ref="F11:F12"/>
    <mergeCell ref="AB13:AB14"/>
    <mergeCell ref="AC13:AC14"/>
    <mergeCell ref="AB11:AB12"/>
    <mergeCell ref="AC11:AC12"/>
    <mergeCell ref="X9:X10"/>
    <mergeCell ref="Y9:Y10"/>
    <mergeCell ref="Z9:Z10"/>
    <mergeCell ref="I9:I10"/>
    <mergeCell ref="J9:J10"/>
    <mergeCell ref="K9:K10"/>
    <mergeCell ref="L9:L10"/>
    <mergeCell ref="W9:W10"/>
    <mergeCell ref="U11:U12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0"/>
  <sheetViews>
    <sheetView workbookViewId="0"/>
  </sheetViews>
  <sheetFormatPr defaultColWidth="12.67578125" defaultRowHeight="15" customHeight="1" x14ac:dyDescent="0.15"/>
  <cols>
    <col min="1" max="1" width="14.15625" customWidth="1"/>
    <col min="2" max="2" width="27.23828125" customWidth="1"/>
    <col min="3" max="3" width="12.26953125" customWidth="1"/>
    <col min="4" max="6" width="11.59375" customWidth="1"/>
    <col min="7" max="9" width="16.85546875" customWidth="1"/>
    <col min="10" max="10" width="12" customWidth="1"/>
    <col min="11" max="11" width="11.32421875" customWidth="1"/>
    <col min="12" max="12" width="10.3828125" customWidth="1"/>
    <col min="13" max="13" width="4.58203125" customWidth="1"/>
    <col min="14" max="14" width="4.8515625" customWidth="1"/>
    <col min="15" max="15" width="4.58203125" customWidth="1"/>
    <col min="16" max="17" width="4.98828125" customWidth="1"/>
    <col min="18" max="18" width="4.58203125" customWidth="1"/>
    <col min="19" max="19" width="4.8515625" customWidth="1"/>
    <col min="20" max="20" width="4.58203125" customWidth="1"/>
    <col min="21" max="21" width="10.3828125" customWidth="1"/>
    <col min="22" max="22" width="11.8671875" customWidth="1"/>
    <col min="23" max="23" width="11.32421875" customWidth="1"/>
    <col min="24" max="26" width="16.85546875" customWidth="1"/>
    <col min="27" max="27" width="11.59375" customWidth="1"/>
    <col min="28" max="28" width="11.0546875" customWidth="1"/>
    <col min="29" max="29" width="15.23828125" customWidth="1"/>
    <col min="30" max="30" width="12.26953125" customWidth="1"/>
    <col min="31" max="31" width="26.69921875" customWidth="1"/>
    <col min="32" max="32" width="13.6171875" customWidth="1"/>
  </cols>
  <sheetData>
    <row r="1" spans="1:32" ht="78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1" customHeight="1" x14ac:dyDescent="0.4">
      <c r="A2" s="105" t="s">
        <v>96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7"/>
    </row>
    <row r="3" spans="1:32" ht="27.75" customHeight="1" x14ac:dyDescent="0.25">
      <c r="A3" s="2"/>
      <c r="B3" s="3" t="s">
        <v>1</v>
      </c>
      <c r="C3" s="4"/>
      <c r="D3" s="5" t="s">
        <v>97</v>
      </c>
      <c r="E3" s="5"/>
      <c r="F3" s="5"/>
      <c r="G3" s="5"/>
      <c r="H3" s="5"/>
      <c r="I3" s="6"/>
      <c r="J3" s="108" t="s">
        <v>3</v>
      </c>
      <c r="K3" s="102"/>
      <c r="L3" s="102"/>
      <c r="M3" s="101" t="s">
        <v>4</v>
      </c>
      <c r="N3" s="102"/>
      <c r="O3" s="102"/>
      <c r="P3" s="102"/>
      <c r="Q3" s="3"/>
      <c r="R3" s="3"/>
      <c r="S3" s="3"/>
      <c r="T3" s="4"/>
      <c r="U3" s="7"/>
      <c r="V3" s="7"/>
      <c r="W3" s="6"/>
      <c r="X3" s="6"/>
      <c r="Y3" s="8"/>
      <c r="Z3" s="101" t="s">
        <v>5</v>
      </c>
      <c r="AA3" s="102"/>
      <c r="AB3" s="102"/>
      <c r="AC3" s="102"/>
      <c r="AD3" s="5" t="s">
        <v>98</v>
      </c>
      <c r="AE3" s="5"/>
      <c r="AF3" s="61"/>
    </row>
    <row r="4" spans="1:32" ht="31.5" customHeight="1" x14ac:dyDescent="0.25">
      <c r="A4" s="10"/>
      <c r="B4" s="11" t="s">
        <v>7</v>
      </c>
      <c r="C4" s="4"/>
      <c r="D4" s="12" t="s">
        <v>8</v>
      </c>
      <c r="E4" s="12"/>
      <c r="F4" s="12"/>
      <c r="G4" s="12"/>
      <c r="H4" s="12"/>
      <c r="I4" s="4"/>
      <c r="J4" s="86" t="s">
        <v>9</v>
      </c>
      <c r="K4" s="87"/>
      <c r="L4" s="87"/>
      <c r="M4" s="103" t="s">
        <v>90</v>
      </c>
      <c r="N4" s="104"/>
      <c r="O4" s="104"/>
      <c r="P4" s="104"/>
      <c r="Q4" s="11"/>
      <c r="R4" s="11"/>
      <c r="S4" s="11"/>
      <c r="T4" s="4"/>
      <c r="U4" s="13"/>
      <c r="V4" s="13"/>
      <c r="W4" s="4"/>
      <c r="X4" s="4"/>
      <c r="Y4" s="14"/>
      <c r="Z4" s="109" t="s">
        <v>11</v>
      </c>
      <c r="AA4" s="87"/>
      <c r="AB4" s="87"/>
      <c r="AC4" s="87"/>
      <c r="AD4" s="12" t="s">
        <v>12</v>
      </c>
      <c r="AE4" s="12"/>
      <c r="AF4" s="62"/>
    </row>
    <row r="5" spans="1:32" ht="31.5" customHeight="1" x14ac:dyDescent="0.25">
      <c r="A5" s="10"/>
      <c r="B5" s="11" t="s">
        <v>13</v>
      </c>
      <c r="C5" s="4"/>
      <c r="D5" s="12" t="s">
        <v>92</v>
      </c>
      <c r="E5" s="12"/>
      <c r="F5" s="12"/>
      <c r="G5" s="12"/>
      <c r="H5" s="12"/>
      <c r="I5" s="4"/>
      <c r="J5" s="4"/>
      <c r="K5" s="4"/>
      <c r="L5" s="14"/>
      <c r="M5" s="14"/>
      <c r="N5" s="14"/>
      <c r="O5" s="14"/>
      <c r="P5" s="14"/>
      <c r="Q5" s="14"/>
      <c r="R5" s="14"/>
      <c r="S5" s="14"/>
      <c r="T5" s="4"/>
      <c r="U5" s="14"/>
      <c r="V5" s="4"/>
      <c r="W5" s="4"/>
      <c r="X5" s="14"/>
      <c r="Y5" s="14"/>
      <c r="Z5" s="4"/>
      <c r="AA5" s="4"/>
      <c r="AB5" s="4"/>
      <c r="AC5" s="14"/>
      <c r="AD5" s="14"/>
      <c r="AE5" s="16"/>
      <c r="AF5" s="15"/>
    </row>
    <row r="6" spans="1:32" ht="29.25" customHeight="1" x14ac:dyDescent="0.25">
      <c r="A6" s="17"/>
      <c r="B6" s="18"/>
      <c r="C6" s="19"/>
      <c r="D6" s="19"/>
      <c r="E6" s="19"/>
      <c r="F6" s="19"/>
      <c r="G6" s="19"/>
      <c r="H6" s="19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19"/>
      <c r="U6" s="20"/>
      <c r="V6" s="20"/>
      <c r="W6" s="20"/>
      <c r="X6" s="19"/>
      <c r="Y6" s="19"/>
      <c r="Z6" s="20"/>
      <c r="AA6" s="19"/>
      <c r="AB6" s="19"/>
      <c r="AC6" s="19"/>
      <c r="AD6" s="19"/>
      <c r="AE6" s="20"/>
      <c r="AF6" s="21"/>
    </row>
    <row r="7" spans="1:32" ht="63" customHeight="1" x14ac:dyDescent="0.25">
      <c r="A7" s="112" t="s">
        <v>15</v>
      </c>
      <c r="B7" s="22" t="s">
        <v>16</v>
      </c>
      <c r="C7" s="113" t="s">
        <v>17</v>
      </c>
      <c r="D7" s="107"/>
      <c r="E7" s="118" t="s">
        <v>18</v>
      </c>
      <c r="F7" s="115" t="s">
        <v>19</v>
      </c>
      <c r="G7" s="113" t="s">
        <v>20</v>
      </c>
      <c r="H7" s="106"/>
      <c r="I7" s="107"/>
      <c r="J7" s="114" t="s">
        <v>21</v>
      </c>
      <c r="K7" s="117"/>
      <c r="L7" s="110" t="s">
        <v>22</v>
      </c>
      <c r="M7" s="132" t="s">
        <v>23</v>
      </c>
      <c r="N7" s="106"/>
      <c r="O7" s="106"/>
      <c r="P7" s="106"/>
      <c r="Q7" s="106"/>
      <c r="R7" s="106"/>
      <c r="S7" s="106"/>
      <c r="T7" s="106"/>
      <c r="U7" s="110" t="s">
        <v>22</v>
      </c>
      <c r="V7" s="114" t="s">
        <v>21</v>
      </c>
      <c r="W7" s="107"/>
      <c r="X7" s="113" t="s">
        <v>20</v>
      </c>
      <c r="Y7" s="106"/>
      <c r="Z7" s="107"/>
      <c r="AA7" s="115" t="s">
        <v>19</v>
      </c>
      <c r="AB7" s="115" t="s">
        <v>18</v>
      </c>
      <c r="AC7" s="113" t="s">
        <v>17</v>
      </c>
      <c r="AD7" s="107"/>
      <c r="AE7" s="22" t="s">
        <v>16</v>
      </c>
      <c r="AF7" s="112" t="s">
        <v>15</v>
      </c>
    </row>
    <row r="8" spans="1:32" ht="53.25" customHeight="1" x14ac:dyDescent="0.15">
      <c r="A8" s="93"/>
      <c r="B8" s="22" t="s">
        <v>24</v>
      </c>
      <c r="C8" s="22" t="s">
        <v>25</v>
      </c>
      <c r="D8" s="22" t="s">
        <v>26</v>
      </c>
      <c r="E8" s="93"/>
      <c r="F8" s="72"/>
      <c r="G8" s="54" t="s">
        <v>27</v>
      </c>
      <c r="H8" s="55" t="s">
        <v>28</v>
      </c>
      <c r="I8" s="56" t="s">
        <v>29</v>
      </c>
      <c r="J8" s="22" t="s">
        <v>30</v>
      </c>
      <c r="K8" s="22" t="s">
        <v>31</v>
      </c>
      <c r="L8" s="93"/>
      <c r="M8" s="57"/>
      <c r="N8" s="57"/>
      <c r="O8" s="30" t="s">
        <v>27</v>
      </c>
      <c r="P8" s="30" t="s">
        <v>28</v>
      </c>
      <c r="Q8" s="30" t="s">
        <v>29</v>
      </c>
      <c r="R8" s="57"/>
      <c r="S8" s="57"/>
      <c r="T8" s="58"/>
      <c r="U8" s="93"/>
      <c r="V8" s="22" t="s">
        <v>31</v>
      </c>
      <c r="W8" s="22" t="s">
        <v>30</v>
      </c>
      <c r="X8" s="54" t="s">
        <v>27</v>
      </c>
      <c r="Y8" s="55" t="s">
        <v>28</v>
      </c>
      <c r="Z8" s="56" t="s">
        <v>29</v>
      </c>
      <c r="AA8" s="72"/>
      <c r="AB8" s="72"/>
      <c r="AC8" s="22" t="s">
        <v>26</v>
      </c>
      <c r="AD8" s="22" t="s">
        <v>25</v>
      </c>
      <c r="AE8" s="59" t="s">
        <v>24</v>
      </c>
      <c r="AF8" s="93"/>
    </row>
    <row r="9" spans="1:32" ht="21.75" customHeight="1" x14ac:dyDescent="0.15">
      <c r="A9" s="73">
        <v>20</v>
      </c>
      <c r="B9" s="74" t="s">
        <v>32</v>
      </c>
      <c r="C9" s="75">
        <v>1</v>
      </c>
      <c r="D9" s="75">
        <v>16</v>
      </c>
      <c r="E9" s="75">
        <v>6</v>
      </c>
      <c r="F9" s="75">
        <v>100</v>
      </c>
      <c r="G9" s="121">
        <f>E9*F9</f>
        <v>600</v>
      </c>
      <c r="H9" s="80"/>
      <c r="I9" s="80"/>
      <c r="J9" s="75">
        <v>2.5</v>
      </c>
      <c r="K9" s="75">
        <v>2.5</v>
      </c>
      <c r="L9" s="123">
        <v>1</v>
      </c>
      <c r="M9" s="33"/>
      <c r="N9" s="34"/>
      <c r="O9" s="35"/>
      <c r="P9" s="36"/>
      <c r="Q9" s="35"/>
      <c r="R9" s="37"/>
      <c r="S9" s="34"/>
      <c r="T9" s="33"/>
      <c r="U9" s="122">
        <v>2</v>
      </c>
      <c r="V9" s="75">
        <v>2.5</v>
      </c>
      <c r="W9" s="75">
        <v>2.5</v>
      </c>
      <c r="X9" s="121">
        <f>AA9*AB9</f>
        <v>600</v>
      </c>
      <c r="Y9" s="80"/>
      <c r="Z9" s="80"/>
      <c r="AA9" s="75">
        <v>100</v>
      </c>
      <c r="AB9" s="75">
        <v>6</v>
      </c>
      <c r="AC9" s="75">
        <v>16</v>
      </c>
      <c r="AD9" s="75">
        <v>1</v>
      </c>
      <c r="AE9" s="74" t="s">
        <v>33</v>
      </c>
      <c r="AF9" s="83">
        <v>20</v>
      </c>
    </row>
    <row r="10" spans="1:32" ht="18.75" customHeight="1" x14ac:dyDescent="0.15">
      <c r="A10" s="69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84"/>
      <c r="M10" s="34"/>
      <c r="N10" s="34"/>
      <c r="O10" s="38"/>
      <c r="P10" s="39"/>
      <c r="Q10" s="38"/>
      <c r="R10" s="34"/>
      <c r="S10" s="34"/>
      <c r="T10" s="34"/>
      <c r="U10" s="69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84"/>
    </row>
    <row r="11" spans="1:32" ht="21.75" customHeight="1" x14ac:dyDescent="0.15">
      <c r="A11" s="68">
        <v>20</v>
      </c>
      <c r="B11" s="66" t="s">
        <v>34</v>
      </c>
      <c r="C11" s="71">
        <v>1</v>
      </c>
      <c r="D11" s="71">
        <v>16</v>
      </c>
      <c r="E11" s="71">
        <v>2</v>
      </c>
      <c r="F11" s="71">
        <v>225</v>
      </c>
      <c r="G11" s="76"/>
      <c r="H11" s="82">
        <f>E11*F11</f>
        <v>450</v>
      </c>
      <c r="I11" s="76"/>
      <c r="J11" s="71">
        <v>2.5</v>
      </c>
      <c r="K11" s="71">
        <v>2.5</v>
      </c>
      <c r="L11" s="78">
        <v>3</v>
      </c>
      <c r="M11" s="33"/>
      <c r="N11" s="34"/>
      <c r="O11" s="35"/>
      <c r="P11" s="36"/>
      <c r="Q11" s="35"/>
      <c r="R11" s="37"/>
      <c r="S11" s="34"/>
      <c r="T11" s="33"/>
      <c r="U11" s="77">
        <v>4</v>
      </c>
      <c r="V11" s="71">
        <v>4</v>
      </c>
      <c r="W11" s="71">
        <v>2.5</v>
      </c>
      <c r="X11" s="76"/>
      <c r="Y11" s="82">
        <f>AA11*AB11</f>
        <v>1260</v>
      </c>
      <c r="Z11" s="76"/>
      <c r="AA11" s="71">
        <v>180</v>
      </c>
      <c r="AB11" s="71">
        <v>7</v>
      </c>
      <c r="AC11" s="71">
        <v>20</v>
      </c>
      <c r="AD11" s="71">
        <v>1</v>
      </c>
      <c r="AE11" s="66" t="s">
        <v>42</v>
      </c>
      <c r="AF11" s="85">
        <v>20</v>
      </c>
    </row>
    <row r="12" spans="1:32" ht="18.75" customHeight="1" x14ac:dyDescent="0.15">
      <c r="A12" s="69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84"/>
      <c r="M12" s="34"/>
      <c r="N12" s="34"/>
      <c r="O12" s="38"/>
      <c r="P12" s="39"/>
      <c r="Q12" s="38"/>
      <c r="R12" s="34"/>
      <c r="S12" s="34"/>
      <c r="T12" s="34"/>
      <c r="U12" s="69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84"/>
    </row>
    <row r="13" spans="1:32" ht="21.75" customHeight="1" x14ac:dyDescent="0.15">
      <c r="A13" s="68"/>
      <c r="B13" s="66" t="s">
        <v>93</v>
      </c>
      <c r="C13" s="71">
        <v>1</v>
      </c>
      <c r="D13" s="71"/>
      <c r="E13" s="71"/>
      <c r="F13" s="71"/>
      <c r="G13" s="76"/>
      <c r="H13" s="76"/>
      <c r="I13" s="81">
        <f>E13*F13</f>
        <v>0</v>
      </c>
      <c r="J13" s="71"/>
      <c r="K13" s="71"/>
      <c r="L13" s="78">
        <v>5</v>
      </c>
      <c r="M13" s="33"/>
      <c r="N13" s="34"/>
      <c r="O13" s="35"/>
      <c r="P13" s="36"/>
      <c r="Q13" s="35"/>
      <c r="R13" s="33"/>
      <c r="S13" s="34"/>
      <c r="T13" s="33"/>
      <c r="U13" s="77">
        <v>6</v>
      </c>
      <c r="V13" s="71">
        <v>6</v>
      </c>
      <c r="W13" s="71">
        <v>4</v>
      </c>
      <c r="X13" s="76"/>
      <c r="Y13" s="76"/>
      <c r="Z13" s="81">
        <f>AA13*AB13</f>
        <v>2600</v>
      </c>
      <c r="AA13" s="71">
        <v>2600</v>
      </c>
      <c r="AB13" s="71">
        <v>1</v>
      </c>
      <c r="AC13" s="71">
        <v>25</v>
      </c>
      <c r="AD13" s="71"/>
      <c r="AE13" s="66" t="s">
        <v>58</v>
      </c>
      <c r="AF13" s="85">
        <v>40</v>
      </c>
    </row>
    <row r="14" spans="1:32" ht="18.75" customHeight="1" x14ac:dyDescent="0.15">
      <c r="A14" s="70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9"/>
      <c r="M14" s="34"/>
      <c r="N14" s="34"/>
      <c r="O14" s="38"/>
      <c r="P14" s="39"/>
      <c r="Q14" s="38"/>
      <c r="R14" s="34"/>
      <c r="S14" s="34"/>
      <c r="T14" s="34"/>
      <c r="U14" s="70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9"/>
    </row>
    <row r="15" spans="1:32" ht="21.75" customHeight="1" x14ac:dyDescent="0.15">
      <c r="A15" s="73"/>
      <c r="B15" s="74" t="s">
        <v>41</v>
      </c>
      <c r="C15" s="75">
        <v>1</v>
      </c>
      <c r="D15" s="75">
        <v>16</v>
      </c>
      <c r="E15" s="75">
        <v>1</v>
      </c>
      <c r="F15" s="75">
        <v>50</v>
      </c>
      <c r="G15" s="121">
        <f>E15*F15</f>
        <v>50</v>
      </c>
      <c r="H15" s="80"/>
      <c r="I15" s="80"/>
      <c r="J15" s="75">
        <v>2.5</v>
      </c>
      <c r="K15" s="75">
        <v>2.5</v>
      </c>
      <c r="L15" s="123">
        <v>7</v>
      </c>
      <c r="M15" s="33"/>
      <c r="N15" s="34"/>
      <c r="O15" s="35"/>
      <c r="P15" s="36"/>
      <c r="Q15" s="35"/>
      <c r="R15" s="37"/>
      <c r="S15" s="34"/>
      <c r="T15" s="33"/>
      <c r="U15" s="122">
        <v>8</v>
      </c>
      <c r="V15" s="75"/>
      <c r="W15" s="75"/>
      <c r="X15" s="121">
        <f>AA15*AB15</f>
        <v>0</v>
      </c>
      <c r="Y15" s="80"/>
      <c r="Z15" s="80"/>
      <c r="AA15" s="75">
        <v>75</v>
      </c>
      <c r="AB15" s="75"/>
      <c r="AC15" s="75"/>
      <c r="AD15" s="75"/>
      <c r="AE15" s="74" t="s">
        <v>93</v>
      </c>
      <c r="AF15" s="83"/>
    </row>
    <row r="16" spans="1:32" ht="18.75" customHeight="1" x14ac:dyDescent="0.15">
      <c r="A16" s="70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9"/>
      <c r="M16" s="34"/>
      <c r="N16" s="34"/>
      <c r="O16" s="38"/>
      <c r="P16" s="39"/>
      <c r="Q16" s="38"/>
      <c r="R16" s="34"/>
      <c r="S16" s="34"/>
      <c r="T16" s="34"/>
      <c r="U16" s="70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9"/>
    </row>
    <row r="17" spans="1:32" ht="20.25" customHeight="1" x14ac:dyDescent="0.15">
      <c r="A17" s="40"/>
      <c r="B17" s="1"/>
      <c r="C17" s="34"/>
      <c r="D17" s="34"/>
      <c r="E17" s="34"/>
      <c r="F17" s="34"/>
      <c r="G17" s="128">
        <f t="shared" ref="G17:I17" si="0">SUM(G9:G15)</f>
        <v>650</v>
      </c>
      <c r="H17" s="129">
        <f t="shared" si="0"/>
        <v>450</v>
      </c>
      <c r="I17" s="130">
        <f t="shared" si="0"/>
        <v>0</v>
      </c>
      <c r="J17" s="131"/>
      <c r="K17" s="126" t="s">
        <v>65</v>
      </c>
      <c r="L17" s="127"/>
      <c r="M17" s="88"/>
      <c r="N17" s="102"/>
      <c r="O17" s="102"/>
      <c r="P17" s="102"/>
      <c r="Q17" s="102"/>
      <c r="R17" s="102"/>
      <c r="S17" s="102"/>
      <c r="T17" s="89"/>
      <c r="U17" s="126" t="s">
        <v>65</v>
      </c>
      <c r="V17" s="127"/>
      <c r="W17" s="131"/>
      <c r="X17" s="128">
        <f t="shared" ref="X17:Z17" si="1">SUM(X9:X15)</f>
        <v>600</v>
      </c>
      <c r="Y17" s="129">
        <f t="shared" si="1"/>
        <v>1260</v>
      </c>
      <c r="Z17" s="130">
        <f t="shared" si="1"/>
        <v>2600</v>
      </c>
      <c r="AA17" s="34"/>
      <c r="AB17" s="34"/>
      <c r="AC17" s="34"/>
      <c r="AD17" s="34"/>
      <c r="AE17" s="1"/>
      <c r="AF17" s="41"/>
    </row>
    <row r="18" spans="1:32" ht="20.25" customHeight="1" x14ac:dyDescent="0.15">
      <c r="A18" s="40"/>
      <c r="B18" s="1"/>
      <c r="C18" s="34"/>
      <c r="D18" s="34"/>
      <c r="E18" s="34"/>
      <c r="F18" s="34"/>
      <c r="G18" s="93"/>
      <c r="H18" s="95"/>
      <c r="I18" s="93"/>
      <c r="J18" s="98"/>
      <c r="K18" s="90"/>
      <c r="L18" s="91"/>
      <c r="M18" s="125" t="s">
        <v>31</v>
      </c>
      <c r="N18" s="98"/>
      <c r="O18" s="98"/>
      <c r="P18" s="20"/>
      <c r="Q18" s="20"/>
      <c r="R18" s="124" t="s">
        <v>66</v>
      </c>
      <c r="S18" s="98"/>
      <c r="T18" s="60"/>
      <c r="U18" s="90"/>
      <c r="V18" s="91"/>
      <c r="W18" s="98"/>
      <c r="X18" s="93"/>
      <c r="Y18" s="95"/>
      <c r="Z18" s="93"/>
      <c r="AA18" s="34"/>
      <c r="AB18" s="34"/>
      <c r="AC18" s="34"/>
      <c r="AD18" s="34"/>
      <c r="AE18" s="1"/>
      <c r="AF18" s="41"/>
    </row>
    <row r="19" spans="1:32" ht="36.75" customHeight="1" x14ac:dyDescent="0.15">
      <c r="A19" s="40"/>
      <c r="B19" s="1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1"/>
      <c r="AF19" s="41"/>
    </row>
    <row r="20" spans="1:32" ht="31.5" customHeight="1" x14ac:dyDescent="0.25">
      <c r="A20" s="40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43"/>
      <c r="AA20" s="43"/>
      <c r="AB20" s="43" t="s">
        <v>67</v>
      </c>
      <c r="AC20" s="43"/>
      <c r="AD20" s="43"/>
      <c r="AE20" s="44">
        <v>90</v>
      </c>
      <c r="AF20" s="45" t="s">
        <v>68</v>
      </c>
    </row>
    <row r="21" spans="1:32" ht="36.75" customHeight="1" x14ac:dyDescent="0.25">
      <c r="A21" s="13" t="s">
        <v>69</v>
      </c>
      <c r="B21" s="46">
        <f>G17+X17</f>
        <v>1250</v>
      </c>
      <c r="C21" s="11" t="s">
        <v>70</v>
      </c>
      <c r="D21" s="1"/>
      <c r="E21" s="1"/>
      <c r="F21" s="1"/>
      <c r="G21" s="86" t="s">
        <v>71</v>
      </c>
      <c r="H21" s="87"/>
      <c r="I21" s="43" t="s">
        <v>99</v>
      </c>
      <c r="J21" s="43"/>
      <c r="K21" s="4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43"/>
      <c r="AA21" s="43"/>
      <c r="AB21" s="43" t="s">
        <v>73</v>
      </c>
      <c r="AC21" s="43"/>
      <c r="AD21" s="43"/>
      <c r="AE21" s="47">
        <f>(B24*AE20)/(1000*100)</f>
        <v>5.0039999999999996</v>
      </c>
      <c r="AF21" s="45" t="s">
        <v>74</v>
      </c>
    </row>
    <row r="22" spans="1:32" ht="36.75" customHeight="1" x14ac:dyDescent="0.25">
      <c r="A22" s="48" t="s">
        <v>75</v>
      </c>
      <c r="B22" s="49">
        <f>H17+Y17</f>
        <v>1710</v>
      </c>
      <c r="C22" s="11" t="s">
        <v>70</v>
      </c>
      <c r="D22" s="1"/>
      <c r="E22" s="1"/>
      <c r="F22" s="1"/>
      <c r="G22" s="86" t="s">
        <v>76</v>
      </c>
      <c r="H22" s="87"/>
      <c r="I22" s="43" t="s">
        <v>77</v>
      </c>
      <c r="J22" s="43"/>
      <c r="K22" s="4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43"/>
      <c r="AA22" s="43"/>
      <c r="AB22" s="43" t="s">
        <v>78</v>
      </c>
      <c r="AC22" s="43"/>
      <c r="AD22" s="43"/>
      <c r="AE22" s="47">
        <f>AE21*0.2</f>
        <v>1.0007999999999999</v>
      </c>
      <c r="AF22" s="45" t="s">
        <v>74</v>
      </c>
    </row>
    <row r="23" spans="1:32" ht="36.75" customHeight="1" x14ac:dyDescent="0.25">
      <c r="A23" s="48" t="s">
        <v>79</v>
      </c>
      <c r="B23" s="50">
        <f>I17+Z17</f>
        <v>2600</v>
      </c>
      <c r="C23" s="11" t="s">
        <v>70</v>
      </c>
      <c r="D23" s="1"/>
      <c r="E23" s="1"/>
      <c r="F23" s="1"/>
      <c r="G23" s="86" t="s">
        <v>80</v>
      </c>
      <c r="H23" s="87"/>
      <c r="I23" s="43" t="s">
        <v>95</v>
      </c>
      <c r="J23" s="43"/>
      <c r="K23" s="4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43"/>
      <c r="AA23" s="43"/>
      <c r="AB23" s="43" t="s">
        <v>82</v>
      </c>
      <c r="AC23" s="43"/>
      <c r="AD23" s="43"/>
      <c r="AE23" s="47">
        <f>AE21+AE22</f>
        <v>6.0047999999999995</v>
      </c>
      <c r="AF23" s="45" t="s">
        <v>74</v>
      </c>
    </row>
    <row r="24" spans="1:32" ht="36.75" customHeight="1" x14ac:dyDescent="0.3">
      <c r="A24" s="48" t="s">
        <v>65</v>
      </c>
      <c r="B24" s="51">
        <f>B21+B22+B23</f>
        <v>5560</v>
      </c>
      <c r="C24" s="11" t="s">
        <v>70</v>
      </c>
      <c r="D24" s="1"/>
      <c r="E24" s="1"/>
      <c r="F24" s="1"/>
      <c r="G24" s="86" t="s">
        <v>83</v>
      </c>
      <c r="H24" s="87"/>
      <c r="I24" s="43" t="s">
        <v>84</v>
      </c>
      <c r="J24" s="43"/>
      <c r="K24" s="4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43"/>
      <c r="AA24" s="43"/>
      <c r="AB24" s="52" t="s">
        <v>85</v>
      </c>
      <c r="AC24" s="43"/>
      <c r="AD24" s="43"/>
      <c r="AE24" s="53">
        <f>AE23*1000/(380*1.73)</f>
        <v>9.1341648919987826</v>
      </c>
      <c r="AF24" s="45" t="s">
        <v>86</v>
      </c>
    </row>
    <row r="25" spans="1:32" ht="24.75" customHeight="1" x14ac:dyDescent="0.15">
      <c r="A25" s="17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1"/>
    </row>
    <row r="26" spans="1:32" ht="36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30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30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30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4.2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30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30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30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30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4.2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4.2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4.2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4.2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4.2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4.2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4.2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4.2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4.2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4.2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4.2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4.2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4.2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4.2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4.2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4.2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4.2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4.2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4.2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4.2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4.2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4.2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4.2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4.2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4.2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4.2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4.2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4.2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4.2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4.2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4.2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4.2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4.2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4.2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4.2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4.2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4.2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4.2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4.2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4.2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4.2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4.2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4.2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4.2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4.2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4.2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4.2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4.2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4.2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4.2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4.2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4.2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4.2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4.2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4.2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4.2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4.2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4.2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4.2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4.2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4.2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4.2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4.2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4.2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4.2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4.2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</sheetData>
  <mergeCells count="135">
    <mergeCell ref="A15:A16"/>
    <mergeCell ref="B15:B16"/>
    <mergeCell ref="C15:C16"/>
    <mergeCell ref="D15:D16"/>
    <mergeCell ref="E15:E16"/>
    <mergeCell ref="F15:F16"/>
    <mergeCell ref="C11:C12"/>
    <mergeCell ref="D11:D12"/>
    <mergeCell ref="A9:A10"/>
    <mergeCell ref="B9:B10"/>
    <mergeCell ref="C9:C10"/>
    <mergeCell ref="D9:D10"/>
    <mergeCell ref="E11:E12"/>
    <mergeCell ref="F11:F12"/>
    <mergeCell ref="A13:A14"/>
    <mergeCell ref="B13:B14"/>
    <mergeCell ref="C13:C14"/>
    <mergeCell ref="D13:D14"/>
    <mergeCell ref="E13:E14"/>
    <mergeCell ref="J11:J12"/>
    <mergeCell ref="K11:K12"/>
    <mergeCell ref="I9:I10"/>
    <mergeCell ref="J9:J10"/>
    <mergeCell ref="K9:K10"/>
    <mergeCell ref="A11:A12"/>
    <mergeCell ref="B11:B12"/>
    <mergeCell ref="J15:J16"/>
    <mergeCell ref="G7:I7"/>
    <mergeCell ref="H11:H12"/>
    <mergeCell ref="G21:H21"/>
    <mergeCell ref="G22:H22"/>
    <mergeCell ref="G9:G10"/>
    <mergeCell ref="E9:E10"/>
    <mergeCell ref="F9:F10"/>
    <mergeCell ref="E7:E8"/>
    <mergeCell ref="F7:F8"/>
    <mergeCell ref="F13:F14"/>
    <mergeCell ref="J7:K7"/>
    <mergeCell ref="G23:H23"/>
    <mergeCell ref="H9:H10"/>
    <mergeCell ref="G24:H24"/>
    <mergeCell ref="H15:H16"/>
    <mergeCell ref="W17:W18"/>
    <mergeCell ref="X17:X18"/>
    <mergeCell ref="G17:G18"/>
    <mergeCell ref="H17:H18"/>
    <mergeCell ref="I17:I18"/>
    <mergeCell ref="J17:J18"/>
    <mergeCell ref="K17:L18"/>
    <mergeCell ref="M17:T17"/>
    <mergeCell ref="G13:G14"/>
    <mergeCell ref="H13:H14"/>
    <mergeCell ref="I13:I14"/>
    <mergeCell ref="J13:J14"/>
    <mergeCell ref="U17:V18"/>
    <mergeCell ref="L9:L10"/>
    <mergeCell ref="U9:U10"/>
    <mergeCell ref="V9:V10"/>
    <mergeCell ref="I11:I12"/>
    <mergeCell ref="G11:G12"/>
    <mergeCell ref="G15:G16"/>
    <mergeCell ref="I15:I16"/>
    <mergeCell ref="L11:L12"/>
    <mergeCell ref="U11:U12"/>
    <mergeCell ref="V11:V12"/>
    <mergeCell ref="AE15:AE16"/>
    <mergeCell ref="AF15:AF16"/>
    <mergeCell ref="Y15:Y16"/>
    <mergeCell ref="Z15:Z16"/>
    <mergeCell ref="AA15:AA16"/>
    <mergeCell ref="AB15:AB16"/>
    <mergeCell ref="Z13:Z14"/>
    <mergeCell ref="AA13:AA14"/>
    <mergeCell ref="AB13:AB14"/>
    <mergeCell ref="AC13:AC14"/>
    <mergeCell ref="AC15:AC16"/>
    <mergeCell ref="AD13:AD14"/>
    <mergeCell ref="AE13:AE14"/>
    <mergeCell ref="AD15:AD16"/>
    <mergeCell ref="AC11:AC12"/>
    <mergeCell ref="AD11:AD12"/>
    <mergeCell ref="AE11:AE12"/>
    <mergeCell ref="K15:K16"/>
    <mergeCell ref="L15:L16"/>
    <mergeCell ref="U15:U16"/>
    <mergeCell ref="V15:V16"/>
    <mergeCell ref="W15:W16"/>
    <mergeCell ref="X15:X16"/>
    <mergeCell ref="W13:W14"/>
    <mergeCell ref="X13:X14"/>
    <mergeCell ref="K13:K14"/>
    <mergeCell ref="U13:U14"/>
    <mergeCell ref="V13:V14"/>
    <mergeCell ref="L13:L14"/>
    <mergeCell ref="AC9:AC10"/>
    <mergeCell ref="AD9:AD10"/>
    <mergeCell ref="AE9:AE10"/>
    <mergeCell ref="AF9:AF10"/>
    <mergeCell ref="W9:W10"/>
    <mergeCell ref="X9:X10"/>
    <mergeCell ref="Y9:Y10"/>
    <mergeCell ref="Z9:Z10"/>
    <mergeCell ref="AA9:AA10"/>
    <mergeCell ref="AB9:AB10"/>
    <mergeCell ref="Y17:Y18"/>
    <mergeCell ref="Z17:Z18"/>
    <mergeCell ref="M18:O18"/>
    <mergeCell ref="R18:S18"/>
    <mergeCell ref="AF13:AF14"/>
    <mergeCell ref="AB11:AB12"/>
    <mergeCell ref="Y13:Y14"/>
    <mergeCell ref="W11:W12"/>
    <mergeCell ref="X11:X12"/>
    <mergeCell ref="Y11:Y12"/>
    <mergeCell ref="AF11:AF12"/>
    <mergeCell ref="Z11:Z12"/>
    <mergeCell ref="AA11:AA12"/>
    <mergeCell ref="L7:L8"/>
    <mergeCell ref="AB7:AB8"/>
    <mergeCell ref="Z3:AC3"/>
    <mergeCell ref="Z4:AC4"/>
    <mergeCell ref="M7:T7"/>
    <mergeCell ref="U7:U8"/>
    <mergeCell ref="M3:P3"/>
    <mergeCell ref="M4:P4"/>
    <mergeCell ref="A2:AF2"/>
    <mergeCell ref="J3:L3"/>
    <mergeCell ref="J4:L4"/>
    <mergeCell ref="AC7:AD7"/>
    <mergeCell ref="AF7:AF8"/>
    <mergeCell ref="V7:W7"/>
    <mergeCell ref="X7:Z7"/>
    <mergeCell ref="AA7:AA8"/>
    <mergeCell ref="A7:A8"/>
    <mergeCell ref="C7:D7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"/>
  <sheetViews>
    <sheetView workbookViewId="0"/>
  </sheetViews>
  <sheetFormatPr defaultColWidth="12.67578125" defaultRowHeight="15" customHeight="1" x14ac:dyDescent="0.15"/>
  <cols>
    <col min="1" max="1" width="15.640625" customWidth="1"/>
    <col min="2" max="2" width="27.23828125" customWidth="1"/>
    <col min="3" max="3" width="12.26953125" customWidth="1"/>
    <col min="4" max="6" width="11.59375" customWidth="1"/>
    <col min="7" max="9" width="16.85546875" customWidth="1"/>
    <col min="10" max="10" width="12" customWidth="1"/>
    <col min="11" max="11" width="11.32421875" customWidth="1"/>
    <col min="12" max="12" width="10.3828125" customWidth="1"/>
    <col min="13" max="13" width="4.71875" customWidth="1"/>
    <col min="14" max="14" width="4.3125" customWidth="1"/>
    <col min="15" max="15" width="4.1796875" customWidth="1"/>
    <col min="16" max="17" width="3.91015625" customWidth="1"/>
    <col min="18" max="18" width="4.1796875" customWidth="1"/>
    <col min="19" max="19" width="4.3125" customWidth="1"/>
    <col min="20" max="20" width="4.71875" customWidth="1"/>
    <col min="21" max="21" width="10.3828125" customWidth="1"/>
    <col min="22" max="22" width="11.8671875" customWidth="1"/>
    <col min="23" max="23" width="11.32421875" customWidth="1"/>
    <col min="24" max="26" width="16.85546875" customWidth="1"/>
    <col min="27" max="27" width="11.59375" customWidth="1"/>
    <col min="28" max="28" width="11.0546875" customWidth="1"/>
    <col min="29" max="29" width="15.23828125" customWidth="1"/>
    <col min="30" max="30" width="12.26953125" customWidth="1"/>
    <col min="31" max="31" width="26.69921875" customWidth="1"/>
    <col min="32" max="32" width="15.37109375" customWidth="1"/>
  </cols>
  <sheetData>
    <row r="1" spans="1:32" ht="78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1" customHeight="1" x14ac:dyDescent="0.4">
      <c r="A2" s="105" t="s">
        <v>100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7"/>
    </row>
    <row r="3" spans="1:32" ht="27.75" customHeight="1" x14ac:dyDescent="0.25">
      <c r="A3" s="2"/>
      <c r="B3" s="3" t="s">
        <v>1</v>
      </c>
      <c r="C3" s="4"/>
      <c r="D3" s="5" t="s">
        <v>101</v>
      </c>
      <c r="E3" s="5"/>
      <c r="F3" s="5"/>
      <c r="G3" s="5"/>
      <c r="H3" s="5"/>
      <c r="I3" s="6"/>
      <c r="J3" s="108" t="s">
        <v>3</v>
      </c>
      <c r="K3" s="102"/>
      <c r="L3" s="102"/>
      <c r="M3" s="101" t="s">
        <v>4</v>
      </c>
      <c r="N3" s="102"/>
      <c r="O3" s="102"/>
      <c r="P3" s="102"/>
      <c r="Q3" s="102"/>
      <c r="R3" s="3"/>
      <c r="S3" s="3"/>
      <c r="T3" s="4"/>
      <c r="U3" s="7"/>
      <c r="V3" s="7"/>
      <c r="W3" s="6"/>
      <c r="X3" s="6"/>
      <c r="Y3" s="8"/>
      <c r="Z3" s="101" t="s">
        <v>5</v>
      </c>
      <c r="AA3" s="102"/>
      <c r="AB3" s="102"/>
      <c r="AC3" s="102"/>
      <c r="AD3" s="5" t="s">
        <v>102</v>
      </c>
      <c r="AE3" s="5"/>
      <c r="AF3" s="61"/>
    </row>
    <row r="4" spans="1:32" ht="31.5" customHeight="1" x14ac:dyDescent="0.25">
      <c r="A4" s="10"/>
      <c r="B4" s="11" t="s">
        <v>7</v>
      </c>
      <c r="C4" s="4"/>
      <c r="D4" s="12" t="s">
        <v>8</v>
      </c>
      <c r="E4" s="12"/>
      <c r="F4" s="12"/>
      <c r="G4" s="12"/>
      <c r="H4" s="12"/>
      <c r="I4" s="4"/>
      <c r="J4" s="86" t="s">
        <v>9</v>
      </c>
      <c r="K4" s="87"/>
      <c r="L4" s="87"/>
      <c r="M4" s="103" t="s">
        <v>90</v>
      </c>
      <c r="N4" s="104"/>
      <c r="O4" s="104"/>
      <c r="P4" s="104"/>
      <c r="Q4" s="11"/>
      <c r="R4" s="11"/>
      <c r="S4" s="11"/>
      <c r="T4" s="4"/>
      <c r="U4" s="13"/>
      <c r="V4" s="13"/>
      <c r="W4" s="4"/>
      <c r="X4" s="4"/>
      <c r="Y4" s="14"/>
      <c r="Z4" s="109" t="s">
        <v>11</v>
      </c>
      <c r="AA4" s="87"/>
      <c r="AB4" s="87"/>
      <c r="AC4" s="87"/>
      <c r="AD4" s="134" t="s">
        <v>12</v>
      </c>
      <c r="AE4" s="135"/>
      <c r="AF4" s="136"/>
    </row>
    <row r="5" spans="1:32" ht="31.5" customHeight="1" x14ac:dyDescent="0.25">
      <c r="A5" s="10"/>
      <c r="B5" s="11" t="s">
        <v>13</v>
      </c>
      <c r="C5" s="4"/>
      <c r="D5" s="12" t="s">
        <v>92</v>
      </c>
      <c r="E5" s="12"/>
      <c r="F5" s="12"/>
      <c r="G5" s="12"/>
      <c r="H5" s="12"/>
      <c r="I5" s="4"/>
      <c r="J5" s="4"/>
      <c r="K5" s="4"/>
      <c r="L5" s="14"/>
      <c r="M5" s="14"/>
      <c r="N5" s="14"/>
      <c r="O5" s="14"/>
      <c r="P5" s="14"/>
      <c r="Q5" s="14"/>
      <c r="R5" s="14"/>
      <c r="S5" s="14"/>
      <c r="T5" s="4"/>
      <c r="U5" s="14"/>
      <c r="V5" s="4"/>
      <c r="W5" s="4"/>
      <c r="X5" s="14"/>
      <c r="Y5" s="14"/>
      <c r="Z5" s="4"/>
      <c r="AA5" s="4"/>
      <c r="AB5" s="4"/>
      <c r="AC5" s="14"/>
      <c r="AD5" s="14"/>
      <c r="AE5" s="16"/>
      <c r="AF5" s="15"/>
    </row>
    <row r="6" spans="1:32" ht="29.25" customHeight="1" x14ac:dyDescent="0.25">
      <c r="A6" s="17"/>
      <c r="B6" s="18"/>
      <c r="C6" s="19"/>
      <c r="D6" s="19"/>
      <c r="E6" s="19"/>
      <c r="F6" s="19"/>
      <c r="G6" s="19"/>
      <c r="H6" s="19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19"/>
      <c r="U6" s="20"/>
      <c r="V6" s="20"/>
      <c r="W6" s="20"/>
      <c r="X6" s="19"/>
      <c r="Y6" s="19"/>
      <c r="Z6" s="20"/>
      <c r="AA6" s="19"/>
      <c r="AB6" s="19"/>
      <c r="AC6" s="19"/>
      <c r="AD6" s="19"/>
      <c r="AE6" s="20"/>
      <c r="AF6" s="21"/>
    </row>
    <row r="7" spans="1:32" ht="63" customHeight="1" x14ac:dyDescent="0.25">
      <c r="A7" s="112" t="s">
        <v>15</v>
      </c>
      <c r="B7" s="22" t="s">
        <v>16</v>
      </c>
      <c r="C7" s="113" t="s">
        <v>17</v>
      </c>
      <c r="D7" s="107"/>
      <c r="E7" s="118" t="s">
        <v>18</v>
      </c>
      <c r="F7" s="115" t="s">
        <v>19</v>
      </c>
      <c r="G7" s="113" t="s">
        <v>20</v>
      </c>
      <c r="H7" s="106"/>
      <c r="I7" s="107"/>
      <c r="J7" s="114" t="s">
        <v>21</v>
      </c>
      <c r="K7" s="117"/>
      <c r="L7" s="110" t="s">
        <v>22</v>
      </c>
      <c r="M7" s="133" t="s">
        <v>23</v>
      </c>
      <c r="N7" s="106"/>
      <c r="O7" s="106"/>
      <c r="P7" s="106"/>
      <c r="Q7" s="106"/>
      <c r="R7" s="106"/>
      <c r="S7" s="106"/>
      <c r="T7" s="107"/>
      <c r="U7" s="110" t="s">
        <v>22</v>
      </c>
      <c r="V7" s="114" t="s">
        <v>21</v>
      </c>
      <c r="W7" s="107"/>
      <c r="X7" s="113" t="s">
        <v>20</v>
      </c>
      <c r="Y7" s="106"/>
      <c r="Z7" s="107"/>
      <c r="AA7" s="115" t="s">
        <v>19</v>
      </c>
      <c r="AB7" s="115" t="s">
        <v>18</v>
      </c>
      <c r="AC7" s="113" t="s">
        <v>17</v>
      </c>
      <c r="AD7" s="107"/>
      <c r="AE7" s="22" t="s">
        <v>16</v>
      </c>
      <c r="AF7" s="112" t="s">
        <v>15</v>
      </c>
    </row>
    <row r="8" spans="1:32" ht="53.25" customHeight="1" x14ac:dyDescent="0.15">
      <c r="A8" s="93"/>
      <c r="B8" s="22" t="s">
        <v>24</v>
      </c>
      <c r="C8" s="22" t="s">
        <v>25</v>
      </c>
      <c r="D8" s="22" t="s">
        <v>26</v>
      </c>
      <c r="E8" s="93"/>
      <c r="F8" s="72"/>
      <c r="G8" s="54" t="s">
        <v>27</v>
      </c>
      <c r="H8" s="55" t="s">
        <v>28</v>
      </c>
      <c r="I8" s="56" t="s">
        <v>29</v>
      </c>
      <c r="J8" s="22" t="s">
        <v>30</v>
      </c>
      <c r="K8" s="22" t="s">
        <v>31</v>
      </c>
      <c r="L8" s="93"/>
      <c r="M8" s="57"/>
      <c r="N8" s="57"/>
      <c r="O8" s="30" t="s">
        <v>27</v>
      </c>
      <c r="P8" s="30" t="s">
        <v>28</v>
      </c>
      <c r="Q8" s="30" t="s">
        <v>29</v>
      </c>
      <c r="R8" s="57"/>
      <c r="S8" s="57"/>
      <c r="T8" s="58"/>
      <c r="U8" s="93"/>
      <c r="V8" s="22" t="s">
        <v>31</v>
      </c>
      <c r="W8" s="22" t="s">
        <v>30</v>
      </c>
      <c r="X8" s="54" t="s">
        <v>27</v>
      </c>
      <c r="Y8" s="55" t="s">
        <v>28</v>
      </c>
      <c r="Z8" s="56" t="s">
        <v>29</v>
      </c>
      <c r="AA8" s="72"/>
      <c r="AB8" s="72"/>
      <c r="AC8" s="22" t="s">
        <v>26</v>
      </c>
      <c r="AD8" s="22" t="s">
        <v>25</v>
      </c>
      <c r="AE8" s="59" t="s">
        <v>24</v>
      </c>
      <c r="AF8" s="93"/>
    </row>
    <row r="9" spans="1:32" ht="21.75" customHeight="1" x14ac:dyDescent="0.15">
      <c r="A9" s="73">
        <v>20</v>
      </c>
      <c r="B9" s="74" t="s">
        <v>32</v>
      </c>
      <c r="C9" s="75">
        <v>1</v>
      </c>
      <c r="D9" s="75">
        <v>16</v>
      </c>
      <c r="E9" s="75">
        <v>9</v>
      </c>
      <c r="F9" s="75">
        <v>100</v>
      </c>
      <c r="G9" s="121">
        <f>E9*F9</f>
        <v>900</v>
      </c>
      <c r="H9" s="80"/>
      <c r="I9" s="80"/>
      <c r="J9" s="75">
        <v>2.5</v>
      </c>
      <c r="K9" s="75">
        <v>2.5</v>
      </c>
      <c r="L9" s="123">
        <v>1</v>
      </c>
      <c r="M9" s="33"/>
      <c r="N9" s="34"/>
      <c r="O9" s="35"/>
      <c r="P9" s="36"/>
      <c r="Q9" s="35"/>
      <c r="R9" s="37"/>
      <c r="S9" s="34"/>
      <c r="T9" s="33"/>
      <c r="U9" s="122">
        <v>2</v>
      </c>
      <c r="V9" s="75">
        <v>2.5</v>
      </c>
      <c r="W9" s="75">
        <v>2.5</v>
      </c>
      <c r="X9" s="121">
        <f>AA9*AB9</f>
        <v>900</v>
      </c>
      <c r="Y9" s="80"/>
      <c r="Z9" s="80"/>
      <c r="AA9" s="75">
        <v>100</v>
      </c>
      <c r="AB9" s="75">
        <v>9</v>
      </c>
      <c r="AC9" s="75">
        <v>16</v>
      </c>
      <c r="AD9" s="75">
        <v>1</v>
      </c>
      <c r="AE9" s="74" t="s">
        <v>33</v>
      </c>
      <c r="AF9" s="83">
        <v>20</v>
      </c>
    </row>
    <row r="10" spans="1:32" ht="18.75" customHeight="1" x14ac:dyDescent="0.15">
      <c r="A10" s="69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84"/>
      <c r="M10" s="34"/>
      <c r="N10" s="34"/>
      <c r="O10" s="38"/>
      <c r="P10" s="39"/>
      <c r="Q10" s="38"/>
      <c r="R10" s="34"/>
      <c r="S10" s="34"/>
      <c r="T10" s="34"/>
      <c r="U10" s="69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84"/>
    </row>
    <row r="11" spans="1:32" ht="21.75" customHeight="1" x14ac:dyDescent="0.15">
      <c r="A11" s="68">
        <v>20</v>
      </c>
      <c r="B11" s="66" t="s">
        <v>34</v>
      </c>
      <c r="C11" s="71">
        <v>1</v>
      </c>
      <c r="D11" s="71">
        <v>16</v>
      </c>
      <c r="E11" s="71">
        <v>1</v>
      </c>
      <c r="F11" s="71">
        <v>225</v>
      </c>
      <c r="G11" s="76"/>
      <c r="H11" s="82">
        <f>E11*F11</f>
        <v>225</v>
      </c>
      <c r="I11" s="76"/>
      <c r="J11" s="71">
        <v>2.5</v>
      </c>
      <c r="K11" s="71">
        <v>2.5</v>
      </c>
      <c r="L11" s="78">
        <v>3</v>
      </c>
      <c r="M11" s="33"/>
      <c r="N11" s="34"/>
      <c r="O11" s="35"/>
      <c r="P11" s="36"/>
      <c r="Q11" s="35"/>
      <c r="R11" s="37"/>
      <c r="S11" s="34"/>
      <c r="T11" s="33"/>
      <c r="U11" s="77">
        <v>4</v>
      </c>
      <c r="V11" s="71">
        <v>4</v>
      </c>
      <c r="W11" s="71">
        <v>2.5</v>
      </c>
      <c r="X11" s="76"/>
      <c r="Y11" s="82">
        <f>AA11*AB11</f>
        <v>1080</v>
      </c>
      <c r="Z11" s="76"/>
      <c r="AA11" s="71">
        <v>180</v>
      </c>
      <c r="AB11" s="71">
        <v>6</v>
      </c>
      <c r="AC11" s="71">
        <v>20</v>
      </c>
      <c r="AD11" s="71">
        <v>1</v>
      </c>
      <c r="AE11" s="66" t="s">
        <v>42</v>
      </c>
      <c r="AF11" s="85">
        <v>20</v>
      </c>
    </row>
    <row r="12" spans="1:32" ht="18.75" customHeight="1" x14ac:dyDescent="0.15">
      <c r="A12" s="69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84"/>
      <c r="M12" s="34"/>
      <c r="N12" s="34"/>
      <c r="O12" s="38"/>
      <c r="P12" s="39"/>
      <c r="Q12" s="38"/>
      <c r="R12" s="34"/>
      <c r="S12" s="34"/>
      <c r="T12" s="34"/>
      <c r="U12" s="69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84"/>
    </row>
    <row r="13" spans="1:32" ht="21.75" customHeight="1" x14ac:dyDescent="0.15">
      <c r="A13" s="68">
        <v>20</v>
      </c>
      <c r="B13" s="66" t="s">
        <v>43</v>
      </c>
      <c r="C13" s="71">
        <v>1</v>
      </c>
      <c r="D13" s="71">
        <v>20</v>
      </c>
      <c r="E13" s="71">
        <v>6</v>
      </c>
      <c r="F13" s="71">
        <v>180</v>
      </c>
      <c r="G13" s="76"/>
      <c r="H13" s="76"/>
      <c r="I13" s="81">
        <f>E13*F13</f>
        <v>1080</v>
      </c>
      <c r="J13" s="71">
        <v>4</v>
      </c>
      <c r="K13" s="71">
        <v>2.5</v>
      </c>
      <c r="L13" s="78">
        <v>5</v>
      </c>
      <c r="M13" s="33"/>
      <c r="N13" s="34"/>
      <c r="O13" s="35"/>
      <c r="P13" s="36"/>
      <c r="Q13" s="35"/>
      <c r="R13" s="33"/>
      <c r="S13" s="34"/>
      <c r="T13" s="33"/>
      <c r="U13" s="77">
        <v>6</v>
      </c>
      <c r="V13" s="71">
        <v>6</v>
      </c>
      <c r="W13" s="71">
        <v>4</v>
      </c>
      <c r="X13" s="76"/>
      <c r="Y13" s="76"/>
      <c r="Z13" s="81">
        <f>AA13*AB13</f>
        <v>2000</v>
      </c>
      <c r="AA13" s="71">
        <v>2000</v>
      </c>
      <c r="AB13" s="71">
        <v>1</v>
      </c>
      <c r="AC13" s="71">
        <v>25</v>
      </c>
      <c r="AD13" s="71"/>
      <c r="AE13" s="66" t="s">
        <v>58</v>
      </c>
      <c r="AF13" s="85">
        <v>40</v>
      </c>
    </row>
    <row r="14" spans="1:32" ht="18.75" customHeight="1" x14ac:dyDescent="0.15">
      <c r="A14" s="70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9"/>
      <c r="M14" s="34"/>
      <c r="N14" s="34"/>
      <c r="O14" s="38"/>
      <c r="P14" s="39"/>
      <c r="Q14" s="38"/>
      <c r="R14" s="34"/>
      <c r="S14" s="34"/>
      <c r="T14" s="34"/>
      <c r="U14" s="70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9"/>
    </row>
    <row r="15" spans="1:32" ht="21.75" customHeight="1" x14ac:dyDescent="0.15">
      <c r="A15" s="73">
        <v>40</v>
      </c>
      <c r="B15" s="74" t="s">
        <v>59</v>
      </c>
      <c r="C15" s="75">
        <v>1</v>
      </c>
      <c r="D15" s="75">
        <v>30</v>
      </c>
      <c r="E15" s="75">
        <v>1</v>
      </c>
      <c r="F15" s="75">
        <v>2000</v>
      </c>
      <c r="G15" s="121">
        <f>E15*F15</f>
        <v>2000</v>
      </c>
      <c r="H15" s="80"/>
      <c r="I15" s="80"/>
      <c r="J15" s="75">
        <v>6</v>
      </c>
      <c r="K15" s="75">
        <v>4</v>
      </c>
      <c r="L15" s="123">
        <v>7</v>
      </c>
      <c r="M15" s="33"/>
      <c r="N15" s="34"/>
      <c r="O15" s="35"/>
      <c r="P15" s="36"/>
      <c r="Q15" s="35"/>
      <c r="R15" s="37"/>
      <c r="S15" s="34"/>
      <c r="T15" s="33"/>
      <c r="U15" s="122">
        <v>8</v>
      </c>
      <c r="V15" s="75"/>
      <c r="W15" s="75"/>
      <c r="X15" s="121">
        <f>AA15*AB15</f>
        <v>0</v>
      </c>
      <c r="Y15" s="80"/>
      <c r="Z15" s="80"/>
      <c r="AA15" s="75"/>
      <c r="AB15" s="75"/>
      <c r="AC15" s="75"/>
      <c r="AD15" s="75"/>
      <c r="AE15" s="74" t="s">
        <v>93</v>
      </c>
      <c r="AF15" s="83"/>
    </row>
    <row r="16" spans="1:32" ht="18.75" customHeight="1" x14ac:dyDescent="0.15">
      <c r="A16" s="69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84"/>
      <c r="M16" s="34"/>
      <c r="N16" s="34"/>
      <c r="O16" s="38"/>
      <c r="P16" s="39"/>
      <c r="Q16" s="38"/>
      <c r="R16" s="34"/>
      <c r="S16" s="34"/>
      <c r="T16" s="34"/>
      <c r="U16" s="69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84"/>
    </row>
    <row r="17" spans="1:32" ht="21.75" customHeight="1" x14ac:dyDescent="0.15">
      <c r="A17" s="68"/>
      <c r="B17" s="66" t="s">
        <v>93</v>
      </c>
      <c r="C17" s="71">
        <v>1</v>
      </c>
      <c r="D17" s="71"/>
      <c r="E17" s="71"/>
      <c r="F17" s="71"/>
      <c r="G17" s="76"/>
      <c r="H17" s="82">
        <f>E17*F17</f>
        <v>0</v>
      </c>
      <c r="I17" s="76"/>
      <c r="J17" s="71"/>
      <c r="K17" s="71"/>
      <c r="L17" s="78">
        <v>9</v>
      </c>
      <c r="M17" s="33"/>
      <c r="N17" s="34"/>
      <c r="O17" s="35"/>
      <c r="P17" s="36"/>
      <c r="Q17" s="35"/>
      <c r="R17" s="37"/>
      <c r="S17" s="34"/>
      <c r="T17" s="33"/>
      <c r="U17" s="77">
        <v>10</v>
      </c>
      <c r="V17" s="71">
        <v>2.5</v>
      </c>
      <c r="W17" s="71">
        <v>2.5</v>
      </c>
      <c r="X17" s="76"/>
      <c r="Y17" s="82">
        <f>AA17*AB17</f>
        <v>50</v>
      </c>
      <c r="Z17" s="76"/>
      <c r="AA17" s="71">
        <v>50</v>
      </c>
      <c r="AB17" s="71">
        <v>1</v>
      </c>
      <c r="AC17" s="71">
        <v>16</v>
      </c>
      <c r="AD17" s="71">
        <v>1</v>
      </c>
      <c r="AE17" s="66" t="s">
        <v>41</v>
      </c>
      <c r="AF17" s="85">
        <v>20</v>
      </c>
    </row>
    <row r="18" spans="1:32" ht="18.75" customHeight="1" x14ac:dyDescent="0.15">
      <c r="A18" s="69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84"/>
      <c r="M18" s="34"/>
      <c r="N18" s="34"/>
      <c r="O18" s="38"/>
      <c r="P18" s="39"/>
      <c r="Q18" s="38"/>
      <c r="R18" s="34"/>
      <c r="S18" s="34"/>
      <c r="T18" s="34"/>
      <c r="U18" s="69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84"/>
    </row>
    <row r="19" spans="1:32" ht="21.75" customHeight="1" x14ac:dyDescent="0.15">
      <c r="A19" s="68"/>
      <c r="B19" s="66" t="s">
        <v>93</v>
      </c>
      <c r="C19" s="71">
        <v>1</v>
      </c>
      <c r="D19" s="71"/>
      <c r="E19" s="71"/>
      <c r="F19" s="71"/>
      <c r="G19" s="76"/>
      <c r="H19" s="76"/>
      <c r="I19" s="81">
        <f>E19*F19</f>
        <v>0</v>
      </c>
      <c r="J19" s="71"/>
      <c r="K19" s="71"/>
      <c r="L19" s="78">
        <v>11</v>
      </c>
      <c r="M19" s="33"/>
      <c r="N19" s="34"/>
      <c r="O19" s="35"/>
      <c r="P19" s="36"/>
      <c r="Q19" s="35"/>
      <c r="R19" s="33"/>
      <c r="S19" s="34"/>
      <c r="T19" s="33"/>
      <c r="U19" s="77">
        <v>12</v>
      </c>
      <c r="V19" s="71"/>
      <c r="W19" s="71"/>
      <c r="X19" s="76"/>
      <c r="Y19" s="76"/>
      <c r="Z19" s="81">
        <f>AA19*AB19</f>
        <v>0</v>
      </c>
      <c r="AA19" s="71"/>
      <c r="AB19" s="71"/>
      <c r="AC19" s="71"/>
      <c r="AD19" s="71"/>
      <c r="AE19" s="66" t="s">
        <v>93</v>
      </c>
      <c r="AF19" s="85"/>
    </row>
    <row r="20" spans="1:32" ht="18.75" customHeight="1" x14ac:dyDescent="0.15">
      <c r="A20" s="70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9"/>
      <c r="M20" s="34"/>
      <c r="N20" s="34"/>
      <c r="O20" s="38"/>
      <c r="P20" s="39"/>
      <c r="Q20" s="38"/>
      <c r="R20" s="34"/>
      <c r="S20" s="34"/>
      <c r="T20" s="34"/>
      <c r="U20" s="70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9"/>
    </row>
    <row r="21" spans="1:32" ht="20.25" customHeight="1" x14ac:dyDescent="0.15">
      <c r="A21" s="40"/>
      <c r="B21" s="1"/>
      <c r="C21" s="34"/>
      <c r="D21" s="34"/>
      <c r="E21" s="34"/>
      <c r="F21" s="34"/>
      <c r="G21" s="128">
        <f t="shared" ref="G21:I21" si="0">SUM(G9:G15)</f>
        <v>2900</v>
      </c>
      <c r="H21" s="129">
        <f t="shared" si="0"/>
        <v>225</v>
      </c>
      <c r="I21" s="130">
        <f t="shared" si="0"/>
        <v>1080</v>
      </c>
      <c r="J21" s="131"/>
      <c r="K21" s="126" t="s">
        <v>65</v>
      </c>
      <c r="L21" s="127"/>
      <c r="M21" s="88"/>
      <c r="N21" s="102"/>
      <c r="O21" s="102"/>
      <c r="P21" s="102"/>
      <c r="Q21" s="102"/>
      <c r="R21" s="102"/>
      <c r="S21" s="102"/>
      <c r="T21" s="89"/>
      <c r="U21" s="126" t="s">
        <v>65</v>
      </c>
      <c r="V21" s="127"/>
      <c r="W21" s="131"/>
      <c r="X21" s="128">
        <f t="shared" ref="X21:Z21" si="1">SUM(X9:X15)</f>
        <v>900</v>
      </c>
      <c r="Y21" s="129">
        <f t="shared" si="1"/>
        <v>1080</v>
      </c>
      <c r="Z21" s="130">
        <f t="shared" si="1"/>
        <v>2000</v>
      </c>
      <c r="AA21" s="34"/>
      <c r="AB21" s="34"/>
      <c r="AC21" s="34"/>
      <c r="AD21" s="34"/>
      <c r="AE21" s="1"/>
      <c r="AF21" s="41"/>
    </row>
    <row r="22" spans="1:32" ht="20.25" customHeight="1" x14ac:dyDescent="0.15">
      <c r="A22" s="40"/>
      <c r="B22" s="1"/>
      <c r="C22" s="34"/>
      <c r="D22" s="34"/>
      <c r="E22" s="34"/>
      <c r="F22" s="34"/>
      <c r="G22" s="93"/>
      <c r="H22" s="95"/>
      <c r="I22" s="93"/>
      <c r="J22" s="98"/>
      <c r="K22" s="90"/>
      <c r="L22" s="91"/>
      <c r="M22" s="125" t="s">
        <v>31</v>
      </c>
      <c r="N22" s="98"/>
      <c r="O22" s="98"/>
      <c r="P22" s="20"/>
      <c r="Q22" s="20"/>
      <c r="R22" s="124" t="s">
        <v>66</v>
      </c>
      <c r="S22" s="98"/>
      <c r="T22" s="60"/>
      <c r="U22" s="90"/>
      <c r="V22" s="91"/>
      <c r="W22" s="98"/>
      <c r="X22" s="93"/>
      <c r="Y22" s="95"/>
      <c r="Z22" s="93"/>
      <c r="AA22" s="34"/>
      <c r="AB22" s="34"/>
      <c r="AC22" s="34"/>
      <c r="AD22" s="34"/>
      <c r="AE22" s="1"/>
      <c r="AF22" s="41"/>
    </row>
    <row r="23" spans="1:32" ht="36.75" customHeight="1" x14ac:dyDescent="0.15">
      <c r="A23" s="40"/>
      <c r="B23" s="1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1"/>
      <c r="AF23" s="41"/>
    </row>
    <row r="24" spans="1:32" ht="31.5" customHeight="1" x14ac:dyDescent="0.25">
      <c r="A24" s="40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43"/>
      <c r="AA24" s="43"/>
      <c r="AB24" s="43" t="s">
        <v>67</v>
      </c>
      <c r="AC24" s="43"/>
      <c r="AD24" s="43"/>
      <c r="AE24" s="44">
        <v>90</v>
      </c>
      <c r="AF24" s="45" t="s">
        <v>68</v>
      </c>
    </row>
    <row r="25" spans="1:32" ht="36.75" customHeight="1" x14ac:dyDescent="0.25">
      <c r="A25" s="13" t="s">
        <v>69</v>
      </c>
      <c r="B25" s="46">
        <f>G21+X21</f>
        <v>3800</v>
      </c>
      <c r="C25" s="11" t="s">
        <v>70</v>
      </c>
      <c r="D25" s="1"/>
      <c r="E25" s="1"/>
      <c r="F25" s="1"/>
      <c r="G25" s="86" t="s">
        <v>71</v>
      </c>
      <c r="H25" s="87"/>
      <c r="I25" s="43" t="s">
        <v>99</v>
      </c>
      <c r="J25" s="43"/>
      <c r="K25" s="4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43"/>
      <c r="AA25" s="43"/>
      <c r="AB25" s="43" t="s">
        <v>73</v>
      </c>
      <c r="AC25" s="43"/>
      <c r="AD25" s="43"/>
      <c r="AE25" s="47">
        <f>(B28*AE24)/(1000*100)</f>
        <v>7.3665000000000003</v>
      </c>
      <c r="AF25" s="45" t="s">
        <v>74</v>
      </c>
    </row>
    <row r="26" spans="1:32" ht="36.75" customHeight="1" x14ac:dyDescent="0.25">
      <c r="A26" s="48" t="s">
        <v>75</v>
      </c>
      <c r="B26" s="49">
        <f>H21+Y21</f>
        <v>1305</v>
      </c>
      <c r="C26" s="11" t="s">
        <v>70</v>
      </c>
      <c r="D26" s="1"/>
      <c r="E26" s="1"/>
      <c r="F26" s="1"/>
      <c r="G26" s="86" t="s">
        <v>76</v>
      </c>
      <c r="H26" s="87"/>
      <c r="I26" s="43" t="s">
        <v>77</v>
      </c>
      <c r="J26" s="43"/>
      <c r="K26" s="4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43"/>
      <c r="AA26" s="43"/>
      <c r="AB26" s="43" t="s">
        <v>78</v>
      </c>
      <c r="AC26" s="43"/>
      <c r="AD26" s="43"/>
      <c r="AE26" s="47">
        <f>AE25*0.2</f>
        <v>1.4733000000000001</v>
      </c>
      <c r="AF26" s="45" t="s">
        <v>74</v>
      </c>
    </row>
    <row r="27" spans="1:32" ht="36.75" customHeight="1" x14ac:dyDescent="0.25">
      <c r="A27" s="48" t="s">
        <v>79</v>
      </c>
      <c r="B27" s="50">
        <f>I21+Z21</f>
        <v>3080</v>
      </c>
      <c r="C27" s="11" t="s">
        <v>70</v>
      </c>
      <c r="D27" s="1"/>
      <c r="E27" s="1"/>
      <c r="F27" s="1"/>
      <c r="G27" s="86" t="s">
        <v>80</v>
      </c>
      <c r="H27" s="87"/>
      <c r="I27" s="43" t="s">
        <v>95</v>
      </c>
      <c r="J27" s="43"/>
      <c r="K27" s="4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43"/>
      <c r="AA27" s="43"/>
      <c r="AB27" s="43" t="s">
        <v>82</v>
      </c>
      <c r="AC27" s="43"/>
      <c r="AD27" s="43"/>
      <c r="AE27" s="47">
        <f>AE25+AE26</f>
        <v>8.8398000000000003</v>
      </c>
      <c r="AF27" s="45" t="s">
        <v>74</v>
      </c>
    </row>
    <row r="28" spans="1:32" ht="36.75" customHeight="1" x14ac:dyDescent="0.3">
      <c r="A28" s="48" t="s">
        <v>65</v>
      </c>
      <c r="B28" s="51">
        <f>B25+B26+B27</f>
        <v>8185</v>
      </c>
      <c r="C28" s="11" t="s">
        <v>70</v>
      </c>
      <c r="D28" s="1"/>
      <c r="E28" s="1"/>
      <c r="F28" s="1"/>
      <c r="G28" s="86" t="s">
        <v>83</v>
      </c>
      <c r="H28" s="87"/>
      <c r="I28" s="43" t="s">
        <v>84</v>
      </c>
      <c r="J28" s="43"/>
      <c r="K28" s="4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43"/>
      <c r="AA28" s="43"/>
      <c r="AB28" s="52" t="s">
        <v>85</v>
      </c>
      <c r="AC28" s="43"/>
      <c r="AD28" s="43"/>
      <c r="AE28" s="53">
        <f>AE27*1000/(380*1.73)</f>
        <v>13.446607849102527</v>
      </c>
      <c r="AF28" s="45" t="s">
        <v>86</v>
      </c>
    </row>
    <row r="29" spans="1:32" ht="24.75" customHeight="1" x14ac:dyDescent="0.15">
      <c r="A29" s="17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1"/>
    </row>
    <row r="30" spans="1:32" ht="36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30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30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30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4.2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30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30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30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30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4.2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4.2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4.2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4.2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4.2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4.2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4.2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4.2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4.2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4.2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4.2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4.2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4.2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4.2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4.2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4.2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4.2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4.2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4.2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4.2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4.2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4.2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4.2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4.2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4.2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4.2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4.2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4.2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4.2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4.2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4.2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4.2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4.2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4.2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4.2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4.2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4.2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4.2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4.2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4.2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4.2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4.2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4.2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4.2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4.2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4.2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4.2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4.2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4.2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4.2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4.2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4.2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4.2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4.2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4.2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4.2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4.2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4.2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4.2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4.2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4.2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4.2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</sheetData>
  <mergeCells count="184">
    <mergeCell ref="AC17:AC18"/>
    <mergeCell ref="AD9:AD10"/>
    <mergeCell ref="AC9:AC10"/>
    <mergeCell ref="AE9:AE10"/>
    <mergeCell ref="AF9:AF10"/>
    <mergeCell ref="X9:X10"/>
    <mergeCell ref="Y9:Y10"/>
    <mergeCell ref="Z9:Z10"/>
    <mergeCell ref="AA9:AA10"/>
    <mergeCell ref="AF13:AF14"/>
    <mergeCell ref="AD17:AD18"/>
    <mergeCell ref="AE17:AE18"/>
    <mergeCell ref="AE15:AE16"/>
    <mergeCell ref="AF15:AF16"/>
    <mergeCell ref="AF17:AF18"/>
    <mergeCell ref="AF11:AF12"/>
    <mergeCell ref="Z11:Z12"/>
    <mergeCell ref="AA11:AA12"/>
    <mergeCell ref="AB11:AB12"/>
    <mergeCell ref="AC11:AC12"/>
    <mergeCell ref="J17:J18"/>
    <mergeCell ref="J15:J16"/>
    <mergeCell ref="K15:K16"/>
    <mergeCell ref="L15:L16"/>
    <mergeCell ref="J21:J22"/>
    <mergeCell ref="V15:V16"/>
    <mergeCell ref="V11:V12"/>
    <mergeCell ref="W11:W12"/>
    <mergeCell ref="X11:X12"/>
    <mergeCell ref="AA17:AA18"/>
    <mergeCell ref="AB17:AB18"/>
    <mergeCell ref="K9:K10"/>
    <mergeCell ref="L9:L10"/>
    <mergeCell ref="U9:U10"/>
    <mergeCell ref="V9:V10"/>
    <mergeCell ref="AB9:AB10"/>
    <mergeCell ref="Y21:Y22"/>
    <mergeCell ref="X17:X18"/>
    <mergeCell ref="Y17:Y18"/>
    <mergeCell ref="K19:K20"/>
    <mergeCell ref="Y11:Y12"/>
    <mergeCell ref="AF19:AF20"/>
    <mergeCell ref="M22:O22"/>
    <mergeCell ref="K21:L22"/>
    <mergeCell ref="M21:T21"/>
    <mergeCell ref="W17:W18"/>
    <mergeCell ref="W9:W10"/>
    <mergeCell ref="AF7:AF8"/>
    <mergeCell ref="V13:V14"/>
    <mergeCell ref="W13:W14"/>
    <mergeCell ref="U13:U14"/>
    <mergeCell ref="L19:L20"/>
    <mergeCell ref="U19:U20"/>
    <mergeCell ref="AC13:AC14"/>
    <mergeCell ref="AD13:AD14"/>
    <mergeCell ref="AB15:AB16"/>
    <mergeCell ref="AC15:AC16"/>
    <mergeCell ref="AD15:AD16"/>
    <mergeCell ref="AE13:AE14"/>
    <mergeCell ref="K11:K12"/>
    <mergeCell ref="Z21:Z22"/>
    <mergeCell ref="AB13:AB14"/>
    <mergeCell ref="Z13:Z14"/>
    <mergeCell ref="AA13:AA14"/>
    <mergeCell ref="Z17:Z18"/>
    <mergeCell ref="K13:K14"/>
    <mergeCell ref="L13:L14"/>
    <mergeCell ref="A11:A12"/>
    <mergeCell ref="B11:B12"/>
    <mergeCell ref="C11:C12"/>
    <mergeCell ref="D11:D12"/>
    <mergeCell ref="E7:E8"/>
    <mergeCell ref="F7:F8"/>
    <mergeCell ref="G7:I7"/>
    <mergeCell ref="G9:G10"/>
    <mergeCell ref="H9:H10"/>
    <mergeCell ref="I9:I10"/>
    <mergeCell ref="J9:J10"/>
    <mergeCell ref="U15:U16"/>
    <mergeCell ref="X13:X14"/>
    <mergeCell ref="Y13:Y14"/>
    <mergeCell ref="W15:W16"/>
    <mergeCell ref="X15:X16"/>
    <mergeCell ref="Y15:Y16"/>
    <mergeCell ref="Z15:Z16"/>
    <mergeCell ref="AA15:AA16"/>
    <mergeCell ref="A19:A20"/>
    <mergeCell ref="B19:B20"/>
    <mergeCell ref="C19:C20"/>
    <mergeCell ref="D19:D20"/>
    <mergeCell ref="A17:A18"/>
    <mergeCell ref="B17:B18"/>
    <mergeCell ref="C17:C18"/>
    <mergeCell ref="I17:I18"/>
    <mergeCell ref="D15:D16"/>
    <mergeCell ref="E15:E16"/>
    <mergeCell ref="A15:A16"/>
    <mergeCell ref="B15:B16"/>
    <mergeCell ref="C15:C16"/>
    <mergeCell ref="L17:L18"/>
    <mergeCell ref="U17:U18"/>
    <mergeCell ref="V17:V18"/>
    <mergeCell ref="G26:H26"/>
    <mergeCell ref="G27:H27"/>
    <mergeCell ref="G28:H28"/>
    <mergeCell ref="G21:G22"/>
    <mergeCell ref="H21:H22"/>
    <mergeCell ref="D17:D18"/>
    <mergeCell ref="E17:E18"/>
    <mergeCell ref="F17:F18"/>
    <mergeCell ref="G17:G18"/>
    <mergeCell ref="H17:H18"/>
    <mergeCell ref="G25:H25"/>
    <mergeCell ref="E19:E20"/>
    <mergeCell ref="I21:I22"/>
    <mergeCell ref="R22:S22"/>
    <mergeCell ref="U21:V22"/>
    <mergeCell ref="W21:W22"/>
    <mergeCell ref="X21:X22"/>
    <mergeCell ref="Z19:Z20"/>
    <mergeCell ref="AA19:AA20"/>
    <mergeCell ref="AB19:AB20"/>
    <mergeCell ref="AC19:AC20"/>
    <mergeCell ref="AD19:AD20"/>
    <mergeCell ref="AE19:AE20"/>
    <mergeCell ref="X19:X20"/>
    <mergeCell ref="Y19:Y20"/>
    <mergeCell ref="V19:V20"/>
    <mergeCell ref="W19:W20"/>
    <mergeCell ref="F19:F20"/>
    <mergeCell ref="G19:G20"/>
    <mergeCell ref="H19:H20"/>
    <mergeCell ref="I19:I20"/>
    <mergeCell ref="J19:J20"/>
    <mergeCell ref="A9:A10"/>
    <mergeCell ref="B9:B10"/>
    <mergeCell ref="C9:C10"/>
    <mergeCell ref="D9:D10"/>
    <mergeCell ref="E9:E10"/>
    <mergeCell ref="F9:F10"/>
    <mergeCell ref="C7:D7"/>
    <mergeCell ref="A7:A8"/>
    <mergeCell ref="K17:K18"/>
    <mergeCell ref="H15:H16"/>
    <mergeCell ref="I15:I16"/>
    <mergeCell ref="F15:F16"/>
    <mergeCell ref="G15:G16"/>
    <mergeCell ref="E11:E12"/>
    <mergeCell ref="H13:H14"/>
    <mergeCell ref="A13:A14"/>
    <mergeCell ref="B13:B14"/>
    <mergeCell ref="C13:C14"/>
    <mergeCell ref="D13:D14"/>
    <mergeCell ref="E13:E14"/>
    <mergeCell ref="F13:F14"/>
    <mergeCell ref="G13:G14"/>
    <mergeCell ref="I13:I14"/>
    <mergeCell ref="J13:J14"/>
    <mergeCell ref="AD11:AD12"/>
    <mergeCell ref="AE11:AE12"/>
    <mergeCell ref="L11:L12"/>
    <mergeCell ref="U11:U12"/>
    <mergeCell ref="F11:F12"/>
    <mergeCell ref="G11:G12"/>
    <mergeCell ref="H11:H12"/>
    <mergeCell ref="I11:I12"/>
    <mergeCell ref="J11:J12"/>
    <mergeCell ref="X7:Z7"/>
    <mergeCell ref="AA7:AA8"/>
    <mergeCell ref="M7:T7"/>
    <mergeCell ref="L7:L8"/>
    <mergeCell ref="J7:K7"/>
    <mergeCell ref="M3:Q3"/>
    <mergeCell ref="M4:P4"/>
    <mergeCell ref="A2:AF2"/>
    <mergeCell ref="Z3:AC3"/>
    <mergeCell ref="J3:L3"/>
    <mergeCell ref="J4:L4"/>
    <mergeCell ref="AC7:AD7"/>
    <mergeCell ref="AD4:AF4"/>
    <mergeCell ref="AB7:AB8"/>
    <mergeCell ref="Z4:AC4"/>
    <mergeCell ref="U7:U8"/>
    <mergeCell ref="V7:W7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00"/>
  <sheetViews>
    <sheetView workbookViewId="0"/>
  </sheetViews>
  <sheetFormatPr defaultColWidth="12.67578125" defaultRowHeight="15" customHeight="1" x14ac:dyDescent="0.15"/>
  <cols>
    <col min="1" max="1" width="15.640625" customWidth="1"/>
    <col min="2" max="2" width="29.9375" customWidth="1"/>
    <col min="3" max="3" width="12.26953125" customWidth="1"/>
    <col min="4" max="5" width="11.59375" customWidth="1"/>
    <col min="6" max="6" width="12.67578125" customWidth="1"/>
    <col min="7" max="9" width="16.85546875" customWidth="1"/>
    <col min="10" max="10" width="12" customWidth="1"/>
    <col min="11" max="11" width="11.32421875" customWidth="1"/>
    <col min="12" max="12" width="10.3828125" customWidth="1"/>
    <col min="13" max="13" width="4.3125" customWidth="1"/>
    <col min="14" max="14" width="4.71875" customWidth="1"/>
    <col min="15" max="15" width="5.12109375" customWidth="1"/>
    <col min="16" max="17" width="4.58203125" customWidth="1"/>
    <col min="18" max="18" width="5.12109375" customWidth="1"/>
    <col min="19" max="19" width="4.71875" customWidth="1"/>
    <col min="20" max="20" width="4.3125" customWidth="1"/>
    <col min="21" max="21" width="10.3828125" customWidth="1"/>
    <col min="22" max="22" width="11.8671875" customWidth="1"/>
    <col min="23" max="23" width="11.32421875" customWidth="1"/>
    <col min="24" max="26" width="16.85546875" customWidth="1"/>
    <col min="27" max="27" width="11.59375" customWidth="1"/>
    <col min="28" max="28" width="12.13671875" customWidth="1"/>
    <col min="29" max="29" width="15.23828125" customWidth="1"/>
    <col min="30" max="30" width="12.26953125" customWidth="1"/>
    <col min="31" max="31" width="29.26171875" customWidth="1"/>
    <col min="32" max="32" width="14.96875" customWidth="1"/>
  </cols>
  <sheetData>
    <row r="1" spans="1:32" ht="78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1" customHeight="1" x14ac:dyDescent="0.4">
      <c r="A2" s="105" t="s">
        <v>103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7"/>
    </row>
    <row r="3" spans="1:32" ht="27.75" customHeight="1" x14ac:dyDescent="0.25">
      <c r="A3" s="10"/>
      <c r="B3" s="11" t="s">
        <v>1</v>
      </c>
      <c r="C3" s="4"/>
      <c r="D3" s="63" t="s">
        <v>104</v>
      </c>
      <c r="E3" s="63"/>
      <c r="F3" s="63"/>
      <c r="G3" s="63"/>
      <c r="H3" s="63"/>
      <c r="I3" s="4"/>
      <c r="J3" s="86" t="s">
        <v>3</v>
      </c>
      <c r="K3" s="87"/>
      <c r="L3" s="87"/>
      <c r="M3" s="109" t="s">
        <v>4</v>
      </c>
      <c r="N3" s="87"/>
      <c r="O3" s="87"/>
      <c r="P3" s="87"/>
      <c r="Q3" s="11"/>
      <c r="R3" s="11"/>
      <c r="S3" s="11"/>
      <c r="T3" s="4"/>
      <c r="U3" s="13"/>
      <c r="V3" s="13"/>
      <c r="W3" s="4"/>
      <c r="X3" s="4"/>
      <c r="Y3" s="14"/>
      <c r="Z3" s="109" t="s">
        <v>5</v>
      </c>
      <c r="AA3" s="87"/>
      <c r="AB3" s="87"/>
      <c r="AC3" s="87"/>
      <c r="AD3" s="63" t="s">
        <v>105</v>
      </c>
      <c r="AE3" s="63"/>
      <c r="AF3" s="62"/>
    </row>
    <row r="4" spans="1:32" ht="31.5" customHeight="1" x14ac:dyDescent="0.25">
      <c r="A4" s="10"/>
      <c r="B4" s="11" t="s">
        <v>7</v>
      </c>
      <c r="C4" s="4"/>
      <c r="D4" s="12" t="s">
        <v>8</v>
      </c>
      <c r="E4" s="12"/>
      <c r="F4" s="12"/>
      <c r="G4" s="12"/>
      <c r="H4" s="12"/>
      <c r="I4" s="4"/>
      <c r="J4" s="86" t="s">
        <v>9</v>
      </c>
      <c r="K4" s="87"/>
      <c r="L4" s="87"/>
      <c r="M4" s="134" t="s">
        <v>90</v>
      </c>
      <c r="N4" s="135"/>
      <c r="O4" s="135"/>
      <c r="P4" s="135"/>
      <c r="Q4" s="11"/>
      <c r="R4" s="11"/>
      <c r="S4" s="11"/>
      <c r="T4" s="4"/>
      <c r="U4" s="13"/>
      <c r="V4" s="13"/>
      <c r="W4" s="4"/>
      <c r="X4" s="4"/>
      <c r="Y4" s="14"/>
      <c r="Z4" s="109" t="s">
        <v>11</v>
      </c>
      <c r="AA4" s="87"/>
      <c r="AB4" s="87"/>
      <c r="AC4" s="87"/>
      <c r="AD4" s="12" t="s">
        <v>12</v>
      </c>
      <c r="AE4" s="12"/>
      <c r="AF4" s="62"/>
    </row>
    <row r="5" spans="1:32" ht="31.5" customHeight="1" x14ac:dyDescent="0.25">
      <c r="A5" s="10"/>
      <c r="B5" s="11" t="s">
        <v>13</v>
      </c>
      <c r="C5" s="4"/>
      <c r="D5" s="12" t="s">
        <v>92</v>
      </c>
      <c r="E5" s="12"/>
      <c r="F5" s="12"/>
      <c r="G5" s="12"/>
      <c r="H5" s="12"/>
      <c r="I5" s="4"/>
      <c r="J5" s="4"/>
      <c r="K5" s="4"/>
      <c r="L5" s="14"/>
      <c r="M5" s="14"/>
      <c r="N5" s="14"/>
      <c r="O5" s="14"/>
      <c r="P5" s="14"/>
      <c r="Q5" s="14"/>
      <c r="R5" s="14"/>
      <c r="S5" s="14"/>
      <c r="T5" s="4"/>
      <c r="U5" s="14"/>
      <c r="V5" s="4"/>
      <c r="W5" s="4"/>
      <c r="X5" s="14"/>
      <c r="Y5" s="14"/>
      <c r="Z5" s="4"/>
      <c r="AA5" s="4"/>
      <c r="AB5" s="4"/>
      <c r="AC5" s="14"/>
      <c r="AD5" s="14"/>
      <c r="AE5" s="16"/>
      <c r="AF5" s="15"/>
    </row>
    <row r="6" spans="1:32" ht="29.25" customHeight="1" x14ac:dyDescent="0.25">
      <c r="A6" s="17"/>
      <c r="B6" s="18"/>
      <c r="C6" s="19"/>
      <c r="D6" s="19"/>
      <c r="E6" s="19"/>
      <c r="F6" s="19"/>
      <c r="G6" s="19"/>
      <c r="H6" s="19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19"/>
      <c r="U6" s="20"/>
      <c r="V6" s="20"/>
      <c r="W6" s="20"/>
      <c r="X6" s="19"/>
      <c r="Y6" s="19"/>
      <c r="Z6" s="20"/>
      <c r="AA6" s="19"/>
      <c r="AB6" s="19"/>
      <c r="AC6" s="19"/>
      <c r="AD6" s="19"/>
      <c r="AE6" s="20"/>
      <c r="AF6" s="21"/>
    </row>
    <row r="7" spans="1:32" ht="63" customHeight="1" x14ac:dyDescent="0.25">
      <c r="A7" s="112" t="s">
        <v>15</v>
      </c>
      <c r="B7" s="22" t="s">
        <v>16</v>
      </c>
      <c r="C7" s="113" t="s">
        <v>17</v>
      </c>
      <c r="D7" s="107"/>
      <c r="E7" s="118" t="s">
        <v>18</v>
      </c>
      <c r="F7" s="115" t="s">
        <v>19</v>
      </c>
      <c r="G7" s="113" t="s">
        <v>20</v>
      </c>
      <c r="H7" s="106"/>
      <c r="I7" s="107"/>
      <c r="J7" s="114" t="s">
        <v>21</v>
      </c>
      <c r="K7" s="117"/>
      <c r="L7" s="110" t="s">
        <v>22</v>
      </c>
      <c r="M7" s="133" t="s">
        <v>23</v>
      </c>
      <c r="N7" s="106"/>
      <c r="O7" s="106"/>
      <c r="P7" s="106"/>
      <c r="Q7" s="106"/>
      <c r="R7" s="106"/>
      <c r="S7" s="106"/>
      <c r="T7" s="107"/>
      <c r="U7" s="110" t="s">
        <v>22</v>
      </c>
      <c r="V7" s="114" t="s">
        <v>21</v>
      </c>
      <c r="W7" s="107"/>
      <c r="X7" s="113" t="s">
        <v>20</v>
      </c>
      <c r="Y7" s="106"/>
      <c r="Z7" s="107"/>
      <c r="AA7" s="115" t="s">
        <v>19</v>
      </c>
      <c r="AB7" s="115" t="s">
        <v>18</v>
      </c>
      <c r="AC7" s="113" t="s">
        <v>17</v>
      </c>
      <c r="AD7" s="107"/>
      <c r="AE7" s="22" t="s">
        <v>16</v>
      </c>
      <c r="AF7" s="112" t="s">
        <v>15</v>
      </c>
    </row>
    <row r="8" spans="1:32" ht="53.25" customHeight="1" x14ac:dyDescent="0.15">
      <c r="A8" s="93"/>
      <c r="B8" s="22" t="s">
        <v>24</v>
      </c>
      <c r="C8" s="22" t="s">
        <v>25</v>
      </c>
      <c r="D8" s="22" t="s">
        <v>26</v>
      </c>
      <c r="E8" s="93"/>
      <c r="F8" s="72"/>
      <c r="G8" s="54" t="s">
        <v>27</v>
      </c>
      <c r="H8" s="55" t="s">
        <v>28</v>
      </c>
      <c r="I8" s="56" t="s">
        <v>29</v>
      </c>
      <c r="J8" s="22" t="s">
        <v>30</v>
      </c>
      <c r="K8" s="22" t="s">
        <v>31</v>
      </c>
      <c r="L8" s="93"/>
      <c r="M8" s="57"/>
      <c r="N8" s="57"/>
      <c r="O8" s="30" t="s">
        <v>27</v>
      </c>
      <c r="P8" s="30" t="s">
        <v>28</v>
      </c>
      <c r="Q8" s="30" t="s">
        <v>29</v>
      </c>
      <c r="R8" s="57"/>
      <c r="S8" s="57"/>
      <c r="T8" s="58"/>
      <c r="U8" s="93"/>
      <c r="V8" s="22" t="s">
        <v>31</v>
      </c>
      <c r="W8" s="22" t="s">
        <v>30</v>
      </c>
      <c r="X8" s="54" t="s">
        <v>27</v>
      </c>
      <c r="Y8" s="55" t="s">
        <v>28</v>
      </c>
      <c r="Z8" s="56" t="s">
        <v>29</v>
      </c>
      <c r="AA8" s="72"/>
      <c r="AB8" s="72"/>
      <c r="AC8" s="22" t="s">
        <v>26</v>
      </c>
      <c r="AD8" s="22" t="s">
        <v>25</v>
      </c>
      <c r="AE8" s="59" t="s">
        <v>24</v>
      </c>
      <c r="AF8" s="93"/>
    </row>
    <row r="9" spans="1:32" ht="21.75" customHeight="1" x14ac:dyDescent="0.15">
      <c r="A9" s="73">
        <v>20</v>
      </c>
      <c r="B9" s="74" t="s">
        <v>32</v>
      </c>
      <c r="C9" s="75">
        <v>1</v>
      </c>
      <c r="D9" s="75">
        <v>16</v>
      </c>
      <c r="E9" s="75">
        <v>6</v>
      </c>
      <c r="F9" s="75">
        <v>100</v>
      </c>
      <c r="G9" s="121">
        <f>E9*F9</f>
        <v>600</v>
      </c>
      <c r="H9" s="80"/>
      <c r="I9" s="80"/>
      <c r="J9" s="75">
        <v>2.5</v>
      </c>
      <c r="K9" s="75">
        <v>2.5</v>
      </c>
      <c r="L9" s="123">
        <v>1</v>
      </c>
      <c r="M9" s="33"/>
      <c r="N9" s="34"/>
      <c r="O9" s="35"/>
      <c r="P9" s="36"/>
      <c r="Q9" s="35"/>
      <c r="R9" s="37"/>
      <c r="S9" s="34"/>
      <c r="T9" s="33"/>
      <c r="U9" s="122">
        <v>2</v>
      </c>
      <c r="V9" s="75">
        <v>2.5</v>
      </c>
      <c r="W9" s="75">
        <v>2.5</v>
      </c>
      <c r="X9" s="121">
        <f>AA9*AB9</f>
        <v>600</v>
      </c>
      <c r="Y9" s="80"/>
      <c r="Z9" s="80"/>
      <c r="AA9" s="75">
        <v>100</v>
      </c>
      <c r="AB9" s="75">
        <v>6</v>
      </c>
      <c r="AC9" s="75">
        <v>16</v>
      </c>
      <c r="AD9" s="75">
        <v>1</v>
      </c>
      <c r="AE9" s="74" t="s">
        <v>33</v>
      </c>
      <c r="AF9" s="83">
        <v>20</v>
      </c>
    </row>
    <row r="10" spans="1:32" ht="18.75" customHeight="1" x14ac:dyDescent="0.15">
      <c r="A10" s="69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84"/>
      <c r="M10" s="34"/>
      <c r="N10" s="34"/>
      <c r="O10" s="38"/>
      <c r="P10" s="39"/>
      <c r="Q10" s="38"/>
      <c r="R10" s="34"/>
      <c r="S10" s="34"/>
      <c r="T10" s="34"/>
      <c r="U10" s="69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84"/>
    </row>
    <row r="11" spans="1:32" ht="21.75" customHeight="1" x14ac:dyDescent="0.15">
      <c r="A11" s="68">
        <v>20</v>
      </c>
      <c r="B11" s="66" t="s">
        <v>34</v>
      </c>
      <c r="C11" s="71">
        <v>1</v>
      </c>
      <c r="D11" s="71">
        <v>16</v>
      </c>
      <c r="E11" s="71">
        <v>4</v>
      </c>
      <c r="F11" s="71">
        <v>225</v>
      </c>
      <c r="G11" s="76"/>
      <c r="H11" s="82">
        <f>E11*F11</f>
        <v>900</v>
      </c>
      <c r="I11" s="76"/>
      <c r="J11" s="71">
        <v>2.5</v>
      </c>
      <c r="K11" s="71">
        <v>2.5</v>
      </c>
      <c r="L11" s="78">
        <v>3</v>
      </c>
      <c r="M11" s="33"/>
      <c r="N11" s="34"/>
      <c r="O11" s="35"/>
      <c r="P11" s="36"/>
      <c r="Q11" s="35"/>
      <c r="R11" s="37"/>
      <c r="S11" s="34"/>
      <c r="T11" s="33"/>
      <c r="U11" s="77">
        <v>4</v>
      </c>
      <c r="V11" s="71">
        <v>2.5</v>
      </c>
      <c r="W11" s="71">
        <v>4</v>
      </c>
      <c r="X11" s="76"/>
      <c r="Y11" s="82">
        <f>AA11*AB11</f>
        <v>1260</v>
      </c>
      <c r="Z11" s="76"/>
      <c r="AA11" s="71">
        <v>180</v>
      </c>
      <c r="AB11" s="71">
        <v>7</v>
      </c>
      <c r="AC11" s="71">
        <v>20</v>
      </c>
      <c r="AD11" s="71">
        <v>1</v>
      </c>
      <c r="AE11" s="66" t="s">
        <v>42</v>
      </c>
      <c r="AF11" s="85">
        <v>20</v>
      </c>
    </row>
    <row r="12" spans="1:32" ht="18.75" customHeight="1" x14ac:dyDescent="0.15">
      <c r="A12" s="69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84"/>
      <c r="M12" s="34"/>
      <c r="N12" s="34"/>
      <c r="O12" s="38"/>
      <c r="P12" s="39"/>
      <c r="Q12" s="38"/>
      <c r="R12" s="34"/>
      <c r="S12" s="34"/>
      <c r="T12" s="34"/>
      <c r="U12" s="69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84"/>
    </row>
    <row r="13" spans="1:32" ht="21.75" customHeight="1" x14ac:dyDescent="0.15">
      <c r="A13" s="68"/>
      <c r="B13" s="66" t="s">
        <v>93</v>
      </c>
      <c r="C13" s="71">
        <v>1</v>
      </c>
      <c r="D13" s="71"/>
      <c r="E13" s="71"/>
      <c r="F13" s="71"/>
      <c r="G13" s="76"/>
      <c r="H13" s="76"/>
      <c r="I13" s="81">
        <f>E13*F13</f>
        <v>0</v>
      </c>
      <c r="J13" s="71"/>
      <c r="K13" s="71"/>
      <c r="L13" s="78">
        <v>5</v>
      </c>
      <c r="M13" s="33"/>
      <c r="N13" s="34"/>
      <c r="O13" s="35"/>
      <c r="P13" s="36"/>
      <c r="Q13" s="35"/>
      <c r="R13" s="33"/>
      <c r="S13" s="34"/>
      <c r="T13" s="33"/>
      <c r="U13" s="77">
        <v>6</v>
      </c>
      <c r="V13" s="71">
        <v>4</v>
      </c>
      <c r="W13" s="71">
        <v>6</v>
      </c>
      <c r="X13" s="76"/>
      <c r="Y13" s="76"/>
      <c r="Z13" s="81">
        <f>AA13*AB13</f>
        <v>2000</v>
      </c>
      <c r="AA13" s="71">
        <v>2000</v>
      </c>
      <c r="AB13" s="71">
        <v>1</v>
      </c>
      <c r="AC13" s="71">
        <v>25</v>
      </c>
      <c r="AD13" s="71"/>
      <c r="AE13" s="66" t="s">
        <v>58</v>
      </c>
      <c r="AF13" s="85">
        <v>40</v>
      </c>
    </row>
    <row r="14" spans="1:32" ht="18.75" customHeight="1" x14ac:dyDescent="0.15">
      <c r="A14" s="70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9"/>
      <c r="M14" s="34"/>
      <c r="N14" s="34"/>
      <c r="O14" s="38"/>
      <c r="P14" s="39"/>
      <c r="Q14" s="38"/>
      <c r="R14" s="34"/>
      <c r="S14" s="34"/>
      <c r="T14" s="34"/>
      <c r="U14" s="70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9"/>
    </row>
    <row r="15" spans="1:32" ht="21.75" customHeight="1" x14ac:dyDescent="0.15">
      <c r="A15" s="73"/>
      <c r="B15" s="74" t="s">
        <v>93</v>
      </c>
      <c r="C15" s="75">
        <v>1</v>
      </c>
      <c r="D15" s="75"/>
      <c r="E15" s="75"/>
      <c r="F15" s="75"/>
      <c r="G15" s="121">
        <f>E15*F15</f>
        <v>0</v>
      </c>
      <c r="H15" s="80"/>
      <c r="I15" s="80"/>
      <c r="J15" s="75"/>
      <c r="K15" s="75"/>
      <c r="L15" s="123">
        <v>7</v>
      </c>
      <c r="M15" s="33"/>
      <c r="N15" s="34"/>
      <c r="O15" s="35"/>
      <c r="P15" s="36"/>
      <c r="Q15" s="35"/>
      <c r="R15" s="37"/>
      <c r="S15" s="34"/>
      <c r="T15" s="33"/>
      <c r="U15" s="122">
        <v>8</v>
      </c>
      <c r="V15" s="75"/>
      <c r="W15" s="75"/>
      <c r="X15" s="121">
        <f>AA15*AB15</f>
        <v>50</v>
      </c>
      <c r="Y15" s="80"/>
      <c r="Z15" s="80"/>
      <c r="AA15" s="75">
        <v>50</v>
      </c>
      <c r="AB15" s="75">
        <v>1</v>
      </c>
      <c r="AC15" s="75">
        <v>16</v>
      </c>
      <c r="AD15" s="75">
        <v>1</v>
      </c>
      <c r="AE15" s="74" t="s">
        <v>41</v>
      </c>
      <c r="AF15" s="83">
        <v>20</v>
      </c>
    </row>
    <row r="16" spans="1:32" ht="18.75" customHeight="1" x14ac:dyDescent="0.15">
      <c r="A16" s="70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9"/>
      <c r="M16" s="34"/>
      <c r="N16" s="34"/>
      <c r="O16" s="38"/>
      <c r="P16" s="39"/>
      <c r="Q16" s="38"/>
      <c r="R16" s="34"/>
      <c r="S16" s="34"/>
      <c r="T16" s="34"/>
      <c r="U16" s="70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9"/>
    </row>
    <row r="17" spans="1:32" ht="20.25" customHeight="1" x14ac:dyDescent="0.15">
      <c r="A17" s="40"/>
      <c r="B17" s="1"/>
      <c r="C17" s="34"/>
      <c r="D17" s="34"/>
      <c r="E17" s="34"/>
      <c r="F17" s="34"/>
      <c r="G17" s="128">
        <f t="shared" ref="G17:I17" si="0">SUM(G9:G15)</f>
        <v>600</v>
      </c>
      <c r="H17" s="129">
        <f t="shared" si="0"/>
        <v>900</v>
      </c>
      <c r="I17" s="130">
        <f t="shared" si="0"/>
        <v>0</v>
      </c>
      <c r="J17" s="131"/>
      <c r="K17" s="126" t="s">
        <v>65</v>
      </c>
      <c r="L17" s="127"/>
      <c r="M17" s="97"/>
      <c r="N17" s="102"/>
      <c r="O17" s="102"/>
      <c r="P17" s="102"/>
      <c r="Q17" s="102"/>
      <c r="R17" s="102"/>
      <c r="S17" s="102"/>
      <c r="T17" s="102"/>
      <c r="U17" s="126" t="s">
        <v>65</v>
      </c>
      <c r="V17" s="127"/>
      <c r="W17" s="131"/>
      <c r="X17" s="128">
        <f t="shared" ref="X17:Z17" si="1">SUM(X9:X15)</f>
        <v>650</v>
      </c>
      <c r="Y17" s="129">
        <f t="shared" si="1"/>
        <v>1260</v>
      </c>
      <c r="Z17" s="130">
        <f t="shared" si="1"/>
        <v>2000</v>
      </c>
      <c r="AA17" s="34"/>
      <c r="AB17" s="34"/>
      <c r="AC17" s="34"/>
      <c r="AD17" s="34"/>
      <c r="AE17" s="1"/>
      <c r="AF17" s="41"/>
    </row>
    <row r="18" spans="1:32" ht="20.25" customHeight="1" x14ac:dyDescent="0.15">
      <c r="A18" s="40"/>
      <c r="B18" s="1"/>
      <c r="C18" s="34"/>
      <c r="D18" s="34"/>
      <c r="E18" s="34"/>
      <c r="F18" s="34"/>
      <c r="G18" s="93"/>
      <c r="H18" s="95"/>
      <c r="I18" s="93"/>
      <c r="J18" s="98"/>
      <c r="K18" s="90"/>
      <c r="L18" s="91"/>
      <c r="M18" s="125" t="s">
        <v>31</v>
      </c>
      <c r="N18" s="98"/>
      <c r="O18" s="98"/>
      <c r="P18" s="42"/>
      <c r="Q18" s="42"/>
      <c r="R18" s="124" t="s">
        <v>66</v>
      </c>
      <c r="S18" s="98"/>
      <c r="T18" s="42"/>
      <c r="U18" s="90"/>
      <c r="V18" s="91"/>
      <c r="W18" s="98"/>
      <c r="X18" s="93"/>
      <c r="Y18" s="95"/>
      <c r="Z18" s="93"/>
      <c r="AA18" s="34"/>
      <c r="AB18" s="34"/>
      <c r="AC18" s="34"/>
      <c r="AD18" s="34"/>
      <c r="AE18" s="1"/>
      <c r="AF18" s="41"/>
    </row>
    <row r="19" spans="1:32" ht="36.75" customHeight="1" x14ac:dyDescent="0.15">
      <c r="A19" s="40"/>
      <c r="B19" s="1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1"/>
      <c r="AF19" s="41"/>
    </row>
    <row r="20" spans="1:32" ht="31.5" customHeight="1" x14ac:dyDescent="0.25">
      <c r="A20" s="40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43"/>
      <c r="AA20" s="43"/>
      <c r="AB20" s="43" t="s">
        <v>67</v>
      </c>
      <c r="AC20" s="43"/>
      <c r="AD20" s="43"/>
      <c r="AE20" s="44">
        <v>90</v>
      </c>
      <c r="AF20" s="45" t="s">
        <v>68</v>
      </c>
    </row>
    <row r="21" spans="1:32" ht="36.75" customHeight="1" x14ac:dyDescent="0.25">
      <c r="A21" s="13" t="s">
        <v>69</v>
      </c>
      <c r="B21" s="46">
        <f>G17+X17</f>
        <v>1250</v>
      </c>
      <c r="C21" s="11" t="s">
        <v>70</v>
      </c>
      <c r="D21" s="1"/>
      <c r="E21" s="1"/>
      <c r="F21" s="1"/>
      <c r="G21" s="86" t="s">
        <v>71</v>
      </c>
      <c r="H21" s="87"/>
      <c r="I21" s="43" t="s">
        <v>99</v>
      </c>
      <c r="J21" s="43"/>
      <c r="K21" s="4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43"/>
      <c r="AA21" s="43"/>
      <c r="AB21" s="43" t="s">
        <v>73</v>
      </c>
      <c r="AC21" s="43"/>
      <c r="AD21" s="43"/>
      <c r="AE21" s="47">
        <f>(B24*AE20)/(1000*100)</f>
        <v>4.8689999999999998</v>
      </c>
      <c r="AF21" s="45" t="s">
        <v>74</v>
      </c>
    </row>
    <row r="22" spans="1:32" ht="36.75" customHeight="1" x14ac:dyDescent="0.25">
      <c r="A22" s="48" t="s">
        <v>75</v>
      </c>
      <c r="B22" s="49">
        <f>H17+Y17</f>
        <v>2160</v>
      </c>
      <c r="C22" s="11" t="s">
        <v>70</v>
      </c>
      <c r="D22" s="1"/>
      <c r="E22" s="1"/>
      <c r="F22" s="1"/>
      <c r="G22" s="86" t="s">
        <v>76</v>
      </c>
      <c r="H22" s="87"/>
      <c r="I22" s="43" t="s">
        <v>77</v>
      </c>
      <c r="J22" s="43"/>
      <c r="K22" s="4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43"/>
      <c r="AA22" s="43"/>
      <c r="AB22" s="43" t="s">
        <v>78</v>
      </c>
      <c r="AC22" s="43"/>
      <c r="AD22" s="43"/>
      <c r="AE22" s="47">
        <f>AE21*0.2</f>
        <v>0.9738</v>
      </c>
      <c r="AF22" s="45" t="s">
        <v>74</v>
      </c>
    </row>
    <row r="23" spans="1:32" ht="36.75" customHeight="1" x14ac:dyDescent="0.25">
      <c r="A23" s="48" t="s">
        <v>79</v>
      </c>
      <c r="B23" s="50">
        <f>I17+Z17</f>
        <v>2000</v>
      </c>
      <c r="C23" s="11" t="s">
        <v>70</v>
      </c>
      <c r="D23" s="1"/>
      <c r="E23" s="1"/>
      <c r="F23" s="1"/>
      <c r="G23" s="86" t="s">
        <v>80</v>
      </c>
      <c r="H23" s="87"/>
      <c r="I23" s="43" t="s">
        <v>95</v>
      </c>
      <c r="J23" s="43"/>
      <c r="K23" s="4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43"/>
      <c r="AA23" s="43"/>
      <c r="AB23" s="43" t="s">
        <v>82</v>
      </c>
      <c r="AC23" s="43"/>
      <c r="AD23" s="43"/>
      <c r="AE23" s="47">
        <f>AE21+AE22</f>
        <v>5.8427999999999995</v>
      </c>
      <c r="AF23" s="45" t="s">
        <v>74</v>
      </c>
    </row>
    <row r="24" spans="1:32" ht="36.75" customHeight="1" x14ac:dyDescent="0.3">
      <c r="A24" s="48" t="s">
        <v>65</v>
      </c>
      <c r="B24" s="51">
        <f>B21+B22+B23</f>
        <v>5410</v>
      </c>
      <c r="C24" s="11" t="s">
        <v>70</v>
      </c>
      <c r="D24" s="1"/>
      <c r="E24" s="1"/>
      <c r="F24" s="1"/>
      <c r="G24" s="86" t="s">
        <v>83</v>
      </c>
      <c r="H24" s="87"/>
      <c r="I24" s="43" t="s">
        <v>84</v>
      </c>
      <c r="J24" s="43"/>
      <c r="K24" s="4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43"/>
      <c r="AA24" s="43"/>
      <c r="AB24" s="52" t="s">
        <v>85</v>
      </c>
      <c r="AC24" s="43"/>
      <c r="AD24" s="43"/>
      <c r="AE24" s="53">
        <f>AE23*1000/(380*1.73)</f>
        <v>8.8877395801642827</v>
      </c>
      <c r="AF24" s="45" t="s">
        <v>86</v>
      </c>
    </row>
    <row r="25" spans="1:32" ht="24.75" customHeight="1" x14ac:dyDescent="0.15">
      <c r="A25" s="17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1"/>
    </row>
    <row r="26" spans="1:32" ht="36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30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30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30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4.2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30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30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30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30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4.2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4.2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4.2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4.2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4.2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4.2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4.2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4.2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4.2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4.2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4.2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4.2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4.2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4.2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4.2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4.2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4.2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4.2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4.2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4.2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4.2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4.2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4.2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4.2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4.2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4.2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4.2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4.2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4.2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4.2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4.2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4.2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4.2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4.2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4.2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4.2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4.2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4.2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4.2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4.2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4.2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4.2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4.2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4.2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4.2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4.2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4.2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4.2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4.2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4.2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4.2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4.2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4.2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4.2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4.2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4.2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4.2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4.2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4.2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4.2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4.2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4.2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4.2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4.2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4.2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4.2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</sheetData>
  <mergeCells count="135">
    <mergeCell ref="F15:F16"/>
    <mergeCell ref="G15:G16"/>
    <mergeCell ref="H15:H16"/>
    <mergeCell ref="I15:I16"/>
    <mergeCell ref="G23:H23"/>
    <mergeCell ref="G24:H24"/>
    <mergeCell ref="G21:H21"/>
    <mergeCell ref="G22:H22"/>
    <mergeCell ref="A11:A12"/>
    <mergeCell ref="B11:B12"/>
    <mergeCell ref="A15:A16"/>
    <mergeCell ref="B15:B16"/>
    <mergeCell ref="C15:C16"/>
    <mergeCell ref="D15:D16"/>
    <mergeCell ref="E15:E16"/>
    <mergeCell ref="I11:I12"/>
    <mergeCell ref="F13:F14"/>
    <mergeCell ref="A13:A14"/>
    <mergeCell ref="B13:B14"/>
    <mergeCell ref="C13:C14"/>
    <mergeCell ref="D13:D14"/>
    <mergeCell ref="E13:E14"/>
    <mergeCell ref="H11:H12"/>
    <mergeCell ref="G11:G12"/>
    <mergeCell ref="I9:I10"/>
    <mergeCell ref="G7:I7"/>
    <mergeCell ref="E11:E12"/>
    <mergeCell ref="F11:F12"/>
    <mergeCell ref="E9:E10"/>
    <mergeCell ref="F9:F10"/>
    <mergeCell ref="G9:G10"/>
    <mergeCell ref="H9:H10"/>
    <mergeCell ref="J9:J10"/>
    <mergeCell ref="J11:J12"/>
    <mergeCell ref="A9:A10"/>
    <mergeCell ref="B9:B10"/>
    <mergeCell ref="C11:C12"/>
    <mergeCell ref="D11:D12"/>
    <mergeCell ref="D9:D10"/>
    <mergeCell ref="A7:A8"/>
    <mergeCell ref="C7:D7"/>
    <mergeCell ref="E7:E8"/>
    <mergeCell ref="F7:F8"/>
    <mergeCell ref="C9:C10"/>
    <mergeCell ref="G17:G18"/>
    <mergeCell ref="H17:H18"/>
    <mergeCell ref="I17:I18"/>
    <mergeCell ref="J17:J18"/>
    <mergeCell ref="K17:L18"/>
    <mergeCell ref="M17:T17"/>
    <mergeCell ref="Z13:Z14"/>
    <mergeCell ref="J13:J14"/>
    <mergeCell ref="J15:J16"/>
    <mergeCell ref="K15:K16"/>
    <mergeCell ref="G13:G14"/>
    <mergeCell ref="H13:H14"/>
    <mergeCell ref="I13:I14"/>
    <mergeCell ref="K13:K14"/>
    <mergeCell ref="W9:W10"/>
    <mergeCell ref="X9:X10"/>
    <mergeCell ref="Y9:Y10"/>
    <mergeCell ref="L15:L16"/>
    <mergeCell ref="AA13:AA14"/>
    <mergeCell ref="AB13:AB14"/>
    <mergeCell ref="AC13:AC14"/>
    <mergeCell ref="AD13:AD14"/>
    <mergeCell ref="AE13:AE14"/>
    <mergeCell ref="U13:U14"/>
    <mergeCell ref="V13:V14"/>
    <mergeCell ref="AC11:AC12"/>
    <mergeCell ref="AD11:AD12"/>
    <mergeCell ref="W13:W14"/>
    <mergeCell ref="X13:X14"/>
    <mergeCell ref="AD15:AD16"/>
    <mergeCell ref="AE15:AE16"/>
    <mergeCell ref="Y17:Y18"/>
    <mergeCell ref="Z17:Z18"/>
    <mergeCell ref="M18:O18"/>
    <mergeCell ref="R18:S18"/>
    <mergeCell ref="X11:X12"/>
    <mergeCell ref="Z15:Z16"/>
    <mergeCell ref="K11:K12"/>
    <mergeCell ref="U11:U12"/>
    <mergeCell ref="U15:U16"/>
    <mergeCell ref="U17:V18"/>
    <mergeCell ref="W17:W18"/>
    <mergeCell ref="X17:X18"/>
    <mergeCell ref="A2:AF2"/>
    <mergeCell ref="Z3:AC3"/>
    <mergeCell ref="AC7:AD7"/>
    <mergeCell ref="M3:P3"/>
    <mergeCell ref="Y13:Y14"/>
    <mergeCell ref="AB11:AB12"/>
    <mergeCell ref="Y11:Y12"/>
    <mergeCell ref="Z11:Z12"/>
    <mergeCell ref="AA11:AA12"/>
    <mergeCell ref="AA9:AA10"/>
    <mergeCell ref="AB9:AB10"/>
    <mergeCell ref="AC9:AC10"/>
    <mergeCell ref="V11:V12"/>
    <mergeCell ref="W11:W12"/>
    <mergeCell ref="L13:L14"/>
    <mergeCell ref="L11:L12"/>
    <mergeCell ref="L9:L10"/>
    <mergeCell ref="K9:K10"/>
    <mergeCell ref="AF13:AF14"/>
    <mergeCell ref="L7:L8"/>
    <mergeCell ref="Z4:AC4"/>
    <mergeCell ref="J7:K7"/>
    <mergeCell ref="M4:P4"/>
    <mergeCell ref="AF9:AF10"/>
    <mergeCell ref="AF15:AF16"/>
    <mergeCell ref="X15:X16"/>
    <mergeCell ref="Y15:Y16"/>
    <mergeCell ref="AA15:AA16"/>
    <mergeCell ref="AB15:AB16"/>
    <mergeCell ref="AC15:AC16"/>
    <mergeCell ref="V15:V16"/>
    <mergeCell ref="W15:W16"/>
    <mergeCell ref="J3:L3"/>
    <mergeCell ref="J4:L4"/>
    <mergeCell ref="AF7:AF8"/>
    <mergeCell ref="AE11:AE12"/>
    <mergeCell ref="AF11:AF12"/>
    <mergeCell ref="AD9:AD10"/>
    <mergeCell ref="AE9:AE10"/>
    <mergeCell ref="AA7:AA8"/>
    <mergeCell ref="AB7:AB8"/>
    <mergeCell ref="M7:T7"/>
    <mergeCell ref="U7:U8"/>
    <mergeCell ref="V7:W7"/>
    <mergeCell ref="X7:Z7"/>
    <mergeCell ref="Z9:Z10"/>
    <mergeCell ref="U9:U10"/>
    <mergeCell ref="V9:V10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"/>
  <sheetViews>
    <sheetView workbookViewId="0"/>
  </sheetViews>
  <sheetFormatPr defaultColWidth="12.67578125" defaultRowHeight="15" customHeight="1" x14ac:dyDescent="0.15"/>
  <cols>
    <col min="1" max="1" width="14.15625" customWidth="1"/>
    <col min="2" max="2" width="27.23828125" customWidth="1"/>
    <col min="3" max="3" width="12.26953125" customWidth="1"/>
    <col min="4" max="6" width="11.59375" customWidth="1"/>
    <col min="7" max="9" width="16.85546875" customWidth="1"/>
    <col min="10" max="10" width="12" customWidth="1"/>
    <col min="11" max="11" width="11.32421875" customWidth="1"/>
    <col min="12" max="12" width="10.3828125" customWidth="1"/>
    <col min="13" max="13" width="5.12109375" customWidth="1"/>
    <col min="14" max="14" width="4.8515625" customWidth="1"/>
    <col min="15" max="15" width="6.203125" customWidth="1"/>
    <col min="16" max="17" width="5.12109375" customWidth="1"/>
    <col min="18" max="18" width="6.203125" customWidth="1"/>
    <col min="19" max="19" width="4.8515625" customWidth="1"/>
    <col min="20" max="20" width="5.12109375" customWidth="1"/>
    <col min="21" max="21" width="10.3828125" customWidth="1"/>
    <col min="22" max="22" width="11.8671875" customWidth="1"/>
    <col min="23" max="23" width="11.32421875" customWidth="1"/>
    <col min="24" max="26" width="16.85546875" customWidth="1"/>
    <col min="27" max="27" width="14.42578125" customWidth="1"/>
    <col min="28" max="28" width="11.0546875" customWidth="1"/>
    <col min="29" max="29" width="15.23828125" customWidth="1"/>
    <col min="30" max="30" width="12.26953125" customWidth="1"/>
    <col min="31" max="31" width="26.69921875" customWidth="1"/>
    <col min="32" max="32" width="13.6171875" customWidth="1"/>
  </cols>
  <sheetData>
    <row r="1" spans="1:32" ht="78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1" customHeight="1" x14ac:dyDescent="0.4">
      <c r="A2" s="105" t="s">
        <v>106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7"/>
    </row>
    <row r="3" spans="1:32" ht="27.75" customHeight="1" x14ac:dyDescent="0.25">
      <c r="A3" s="10"/>
      <c r="B3" s="11" t="s">
        <v>1</v>
      </c>
      <c r="C3" s="4"/>
      <c r="D3" s="63" t="s">
        <v>107</v>
      </c>
      <c r="E3" s="63"/>
      <c r="F3" s="63"/>
      <c r="G3" s="63"/>
      <c r="H3" s="63"/>
      <c r="I3" s="4"/>
      <c r="J3" s="86" t="s">
        <v>3</v>
      </c>
      <c r="K3" s="87"/>
      <c r="L3" s="87"/>
      <c r="M3" s="109" t="s">
        <v>4</v>
      </c>
      <c r="N3" s="87"/>
      <c r="O3" s="87"/>
      <c r="P3" s="87"/>
      <c r="Q3" s="11"/>
      <c r="R3" s="11"/>
      <c r="S3" s="11"/>
      <c r="T3" s="4"/>
      <c r="U3" s="13"/>
      <c r="V3" s="13"/>
      <c r="W3" s="4"/>
      <c r="X3" s="4"/>
      <c r="Y3" s="14"/>
      <c r="Z3" s="109" t="s">
        <v>5</v>
      </c>
      <c r="AA3" s="87"/>
      <c r="AB3" s="87"/>
      <c r="AC3" s="87"/>
      <c r="AD3" s="137" t="s">
        <v>108</v>
      </c>
      <c r="AE3" s="135"/>
      <c r="AF3" s="62"/>
    </row>
    <row r="4" spans="1:32" ht="31.5" customHeight="1" x14ac:dyDescent="0.25">
      <c r="A4" s="10"/>
      <c r="B4" s="11" t="s">
        <v>7</v>
      </c>
      <c r="C4" s="4"/>
      <c r="D4" s="12" t="s">
        <v>8</v>
      </c>
      <c r="E4" s="12"/>
      <c r="F4" s="12"/>
      <c r="G4" s="12"/>
      <c r="H4" s="12"/>
      <c r="I4" s="4"/>
      <c r="J4" s="86" t="s">
        <v>9</v>
      </c>
      <c r="K4" s="87"/>
      <c r="L4" s="87"/>
      <c r="M4" s="109" t="s">
        <v>10</v>
      </c>
      <c r="N4" s="87"/>
      <c r="O4" s="87"/>
      <c r="P4" s="87"/>
      <c r="Q4" s="11"/>
      <c r="R4" s="11"/>
      <c r="S4" s="11"/>
      <c r="T4" s="4"/>
      <c r="U4" s="13"/>
      <c r="V4" s="13"/>
      <c r="W4" s="4"/>
      <c r="X4" s="4"/>
      <c r="Y4" s="14"/>
      <c r="Z4" s="109" t="s">
        <v>11</v>
      </c>
      <c r="AA4" s="87"/>
      <c r="AB4" s="87"/>
      <c r="AC4" s="87"/>
      <c r="AD4" s="12" t="s">
        <v>12</v>
      </c>
      <c r="AE4" s="12"/>
      <c r="AF4" s="62"/>
    </row>
    <row r="5" spans="1:32" ht="31.5" customHeight="1" x14ac:dyDescent="0.25">
      <c r="A5" s="10"/>
      <c r="B5" s="11" t="s">
        <v>13</v>
      </c>
      <c r="C5" s="4"/>
      <c r="D5" s="12" t="s">
        <v>14</v>
      </c>
      <c r="E5" s="12"/>
      <c r="F5" s="12"/>
      <c r="G5" s="12"/>
      <c r="H5" s="12"/>
      <c r="I5" s="4"/>
      <c r="J5" s="4"/>
      <c r="K5" s="4"/>
      <c r="L5" s="14"/>
      <c r="M5" s="14"/>
      <c r="N5" s="14"/>
      <c r="O5" s="14"/>
      <c r="P5" s="14"/>
      <c r="Q5" s="14"/>
      <c r="R5" s="14"/>
      <c r="S5" s="14"/>
      <c r="T5" s="4"/>
      <c r="U5" s="14"/>
      <c r="V5" s="4"/>
      <c r="W5" s="4"/>
      <c r="X5" s="14"/>
      <c r="Y5" s="14"/>
      <c r="Z5" s="4"/>
      <c r="AA5" s="4"/>
      <c r="AB5" s="4"/>
      <c r="AC5" s="14"/>
      <c r="AD5" s="14"/>
      <c r="AE5" s="16"/>
      <c r="AF5" s="15"/>
    </row>
    <row r="6" spans="1:32" ht="29.25" customHeight="1" x14ac:dyDescent="0.25">
      <c r="A6" s="17"/>
      <c r="B6" s="18"/>
      <c r="C6" s="19"/>
      <c r="D6" s="19"/>
      <c r="E6" s="19"/>
      <c r="F6" s="19"/>
      <c r="G6" s="19"/>
      <c r="H6" s="19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19"/>
      <c r="U6" s="20"/>
      <c r="V6" s="20"/>
      <c r="W6" s="20"/>
      <c r="X6" s="19"/>
      <c r="Y6" s="19"/>
      <c r="Z6" s="20"/>
      <c r="AA6" s="19"/>
      <c r="AB6" s="19"/>
      <c r="AC6" s="19"/>
      <c r="AD6" s="19"/>
      <c r="AE6" s="20"/>
      <c r="AF6" s="21"/>
    </row>
    <row r="7" spans="1:32" ht="63" customHeight="1" x14ac:dyDescent="0.25">
      <c r="A7" s="112" t="s">
        <v>15</v>
      </c>
      <c r="B7" s="22" t="s">
        <v>16</v>
      </c>
      <c r="C7" s="113" t="s">
        <v>17</v>
      </c>
      <c r="D7" s="107"/>
      <c r="E7" s="118" t="s">
        <v>18</v>
      </c>
      <c r="F7" s="115" t="s">
        <v>19</v>
      </c>
      <c r="G7" s="113" t="s">
        <v>20</v>
      </c>
      <c r="H7" s="106"/>
      <c r="I7" s="107"/>
      <c r="J7" s="114" t="s">
        <v>21</v>
      </c>
      <c r="K7" s="117"/>
      <c r="L7" s="110" t="s">
        <v>22</v>
      </c>
      <c r="M7" s="133" t="s">
        <v>23</v>
      </c>
      <c r="N7" s="106"/>
      <c r="O7" s="106"/>
      <c r="P7" s="106"/>
      <c r="Q7" s="106"/>
      <c r="R7" s="106"/>
      <c r="S7" s="106"/>
      <c r="T7" s="107"/>
      <c r="U7" s="110" t="s">
        <v>22</v>
      </c>
      <c r="V7" s="114" t="s">
        <v>21</v>
      </c>
      <c r="W7" s="107"/>
      <c r="X7" s="113" t="s">
        <v>20</v>
      </c>
      <c r="Y7" s="106"/>
      <c r="Z7" s="107"/>
      <c r="AA7" s="115" t="s">
        <v>19</v>
      </c>
      <c r="AB7" s="115" t="s">
        <v>18</v>
      </c>
      <c r="AC7" s="113" t="s">
        <v>17</v>
      </c>
      <c r="AD7" s="107"/>
      <c r="AE7" s="22" t="s">
        <v>16</v>
      </c>
      <c r="AF7" s="112" t="s">
        <v>15</v>
      </c>
    </row>
    <row r="8" spans="1:32" ht="53.25" customHeight="1" x14ac:dyDescent="0.15">
      <c r="A8" s="93"/>
      <c r="B8" s="22" t="s">
        <v>24</v>
      </c>
      <c r="C8" s="22" t="s">
        <v>25</v>
      </c>
      <c r="D8" s="22" t="s">
        <v>26</v>
      </c>
      <c r="E8" s="93"/>
      <c r="F8" s="72"/>
      <c r="G8" s="54" t="s">
        <v>27</v>
      </c>
      <c r="H8" s="55" t="s">
        <v>28</v>
      </c>
      <c r="I8" s="56" t="s">
        <v>29</v>
      </c>
      <c r="J8" s="22" t="s">
        <v>30</v>
      </c>
      <c r="K8" s="22" t="s">
        <v>31</v>
      </c>
      <c r="L8" s="93"/>
      <c r="M8" s="57"/>
      <c r="N8" s="57"/>
      <c r="O8" s="30" t="s">
        <v>27</v>
      </c>
      <c r="P8" s="30" t="s">
        <v>28</v>
      </c>
      <c r="Q8" s="30" t="s">
        <v>29</v>
      </c>
      <c r="R8" s="57"/>
      <c r="S8" s="57"/>
      <c r="T8" s="58"/>
      <c r="U8" s="93"/>
      <c r="V8" s="22" t="s">
        <v>31</v>
      </c>
      <c r="W8" s="22" t="s">
        <v>30</v>
      </c>
      <c r="X8" s="54" t="s">
        <v>27</v>
      </c>
      <c r="Y8" s="55" t="s">
        <v>28</v>
      </c>
      <c r="Z8" s="56" t="s">
        <v>29</v>
      </c>
      <c r="AA8" s="72"/>
      <c r="AB8" s="72"/>
      <c r="AC8" s="22" t="s">
        <v>26</v>
      </c>
      <c r="AD8" s="22" t="s">
        <v>25</v>
      </c>
      <c r="AE8" s="59" t="s">
        <v>24</v>
      </c>
      <c r="AF8" s="93"/>
    </row>
    <row r="9" spans="1:32" ht="21.75" customHeight="1" x14ac:dyDescent="0.15">
      <c r="A9" s="73">
        <v>20</v>
      </c>
      <c r="B9" s="74" t="s">
        <v>32</v>
      </c>
      <c r="C9" s="75">
        <v>1</v>
      </c>
      <c r="D9" s="75">
        <v>16</v>
      </c>
      <c r="E9" s="75">
        <v>7</v>
      </c>
      <c r="F9" s="75">
        <v>100</v>
      </c>
      <c r="G9" s="121">
        <f>E9*F9</f>
        <v>700</v>
      </c>
      <c r="H9" s="80"/>
      <c r="I9" s="80"/>
      <c r="J9" s="75">
        <v>2.5</v>
      </c>
      <c r="K9" s="75">
        <v>2.5</v>
      </c>
      <c r="L9" s="123">
        <v>1</v>
      </c>
      <c r="M9" s="33"/>
      <c r="N9" s="34"/>
      <c r="O9" s="35"/>
      <c r="P9" s="36"/>
      <c r="Q9" s="35"/>
      <c r="R9" s="37"/>
      <c r="S9" s="34"/>
      <c r="T9" s="33"/>
      <c r="U9" s="122">
        <v>2</v>
      </c>
      <c r="V9" s="75">
        <v>2.5</v>
      </c>
      <c r="W9" s="75">
        <v>2.5</v>
      </c>
      <c r="X9" s="121">
        <f>AA9*AB9</f>
        <v>1125</v>
      </c>
      <c r="Y9" s="80"/>
      <c r="Z9" s="80"/>
      <c r="AA9" s="75">
        <v>75</v>
      </c>
      <c r="AB9" s="75">
        <v>15</v>
      </c>
      <c r="AC9" s="75">
        <v>16</v>
      </c>
      <c r="AD9" s="75">
        <v>1</v>
      </c>
      <c r="AE9" s="74" t="s">
        <v>33</v>
      </c>
      <c r="AF9" s="83">
        <v>20</v>
      </c>
    </row>
    <row r="10" spans="1:32" ht="18.75" customHeight="1" x14ac:dyDescent="0.15">
      <c r="A10" s="69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84"/>
      <c r="M10" s="34"/>
      <c r="N10" s="34"/>
      <c r="O10" s="38"/>
      <c r="P10" s="39"/>
      <c r="Q10" s="38"/>
      <c r="R10" s="34"/>
      <c r="S10" s="34"/>
      <c r="T10" s="34"/>
      <c r="U10" s="69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84"/>
    </row>
    <row r="11" spans="1:32" ht="21.75" customHeight="1" x14ac:dyDescent="0.15">
      <c r="A11" s="68">
        <v>20</v>
      </c>
      <c r="B11" s="66" t="s">
        <v>34</v>
      </c>
      <c r="C11" s="71">
        <v>1</v>
      </c>
      <c r="D11" s="71">
        <v>16</v>
      </c>
      <c r="E11" s="71">
        <v>5</v>
      </c>
      <c r="F11" s="71">
        <v>75</v>
      </c>
      <c r="G11" s="76"/>
      <c r="H11" s="82">
        <f>E11*F11</f>
        <v>375</v>
      </c>
      <c r="I11" s="76"/>
      <c r="J11" s="71">
        <v>2.5</v>
      </c>
      <c r="K11" s="71">
        <v>2.5</v>
      </c>
      <c r="L11" s="78">
        <v>3</v>
      </c>
      <c r="M11" s="33"/>
      <c r="N11" s="34"/>
      <c r="O11" s="35"/>
      <c r="P11" s="36"/>
      <c r="Q11" s="35"/>
      <c r="R11" s="37"/>
      <c r="S11" s="34"/>
      <c r="T11" s="33"/>
      <c r="U11" s="77">
        <v>4</v>
      </c>
      <c r="V11" s="71">
        <v>2.5</v>
      </c>
      <c r="W11" s="71">
        <v>2.5</v>
      </c>
      <c r="X11" s="76"/>
      <c r="Y11" s="82">
        <f>AA11*AB11</f>
        <v>450</v>
      </c>
      <c r="Z11" s="76"/>
      <c r="AA11" s="71">
        <v>225</v>
      </c>
      <c r="AB11" s="71">
        <v>2</v>
      </c>
      <c r="AC11" s="71">
        <v>16</v>
      </c>
      <c r="AD11" s="71">
        <v>1</v>
      </c>
      <c r="AE11" s="66" t="s">
        <v>35</v>
      </c>
      <c r="AF11" s="85">
        <v>20</v>
      </c>
    </row>
    <row r="12" spans="1:32" ht="18.75" customHeight="1" x14ac:dyDescent="0.15">
      <c r="A12" s="69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84"/>
      <c r="M12" s="34"/>
      <c r="N12" s="34"/>
      <c r="O12" s="38"/>
      <c r="P12" s="39"/>
      <c r="Q12" s="38"/>
      <c r="R12" s="34"/>
      <c r="S12" s="34"/>
      <c r="T12" s="34"/>
      <c r="U12" s="69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84"/>
    </row>
    <row r="13" spans="1:32" ht="21.75" customHeight="1" x14ac:dyDescent="0.15">
      <c r="A13" s="68">
        <v>20</v>
      </c>
      <c r="B13" s="66" t="s">
        <v>93</v>
      </c>
      <c r="C13" s="71">
        <v>1</v>
      </c>
      <c r="D13" s="71"/>
      <c r="E13" s="71"/>
      <c r="F13" s="71"/>
      <c r="G13" s="76"/>
      <c r="H13" s="76"/>
      <c r="I13" s="81">
        <f>E13*F13</f>
        <v>0</v>
      </c>
      <c r="J13" s="71"/>
      <c r="K13" s="71"/>
      <c r="L13" s="78">
        <v>5</v>
      </c>
      <c r="M13" s="33"/>
      <c r="N13" s="34"/>
      <c r="O13" s="35"/>
      <c r="P13" s="36"/>
      <c r="Q13" s="35"/>
      <c r="R13" s="33"/>
      <c r="S13" s="34"/>
      <c r="T13" s="33"/>
      <c r="U13" s="77">
        <v>6</v>
      </c>
      <c r="V13" s="71">
        <v>2.5</v>
      </c>
      <c r="W13" s="71">
        <v>2.5</v>
      </c>
      <c r="X13" s="76"/>
      <c r="Y13" s="76"/>
      <c r="Z13" s="81">
        <f>AA13*AB13</f>
        <v>1000</v>
      </c>
      <c r="AA13" s="71">
        <v>100</v>
      </c>
      <c r="AB13" s="71">
        <v>10</v>
      </c>
      <c r="AC13" s="71">
        <v>16</v>
      </c>
      <c r="AD13" s="71">
        <v>1</v>
      </c>
      <c r="AE13" s="66" t="s">
        <v>109</v>
      </c>
      <c r="AF13" s="85">
        <v>20</v>
      </c>
    </row>
    <row r="14" spans="1:32" ht="18.75" customHeight="1" x14ac:dyDescent="0.15">
      <c r="A14" s="70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9"/>
      <c r="M14" s="34"/>
      <c r="N14" s="34"/>
      <c r="O14" s="38"/>
      <c r="P14" s="39"/>
      <c r="Q14" s="38"/>
      <c r="R14" s="34"/>
      <c r="S14" s="34"/>
      <c r="T14" s="34"/>
      <c r="U14" s="70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9"/>
    </row>
    <row r="15" spans="1:32" ht="21.75" customHeight="1" x14ac:dyDescent="0.15">
      <c r="A15" s="73">
        <v>50</v>
      </c>
      <c r="B15" s="74" t="s">
        <v>110</v>
      </c>
      <c r="C15" s="75">
        <v>3</v>
      </c>
      <c r="D15" s="75">
        <v>32</v>
      </c>
      <c r="E15" s="75">
        <v>1</v>
      </c>
      <c r="F15" s="75">
        <v>5000</v>
      </c>
      <c r="G15" s="121">
        <f>E15*F15</f>
        <v>5000</v>
      </c>
      <c r="H15" s="80"/>
      <c r="I15" s="80"/>
      <c r="J15" s="75" t="s">
        <v>111</v>
      </c>
      <c r="K15" s="75">
        <v>6</v>
      </c>
      <c r="L15" s="123">
        <v>7</v>
      </c>
      <c r="M15" s="33"/>
      <c r="N15" s="34"/>
      <c r="O15" s="35"/>
      <c r="P15" s="36"/>
      <c r="Q15" s="35"/>
      <c r="R15" s="37"/>
      <c r="S15" s="34"/>
      <c r="T15" s="33"/>
      <c r="U15" s="122">
        <v>8</v>
      </c>
      <c r="V15" s="75">
        <v>4</v>
      </c>
      <c r="W15" s="75">
        <v>2.5</v>
      </c>
      <c r="X15" s="121">
        <f>AA15*AB15</f>
        <v>1080</v>
      </c>
      <c r="Y15" s="80"/>
      <c r="Z15" s="80"/>
      <c r="AA15" s="75">
        <v>180</v>
      </c>
      <c r="AB15" s="75">
        <v>6</v>
      </c>
      <c r="AC15" s="75">
        <v>20</v>
      </c>
      <c r="AD15" s="75">
        <v>1</v>
      </c>
      <c r="AE15" s="74" t="s">
        <v>107</v>
      </c>
      <c r="AF15" s="83">
        <v>20</v>
      </c>
    </row>
    <row r="16" spans="1:32" ht="18.75" customHeight="1" x14ac:dyDescent="0.15">
      <c r="A16" s="138"/>
      <c r="B16" s="116"/>
      <c r="C16" s="116"/>
      <c r="D16" s="116"/>
      <c r="E16" s="67"/>
      <c r="F16" s="67"/>
      <c r="G16" s="67"/>
      <c r="H16" s="67"/>
      <c r="I16" s="67"/>
      <c r="J16" s="116"/>
      <c r="K16" s="116"/>
      <c r="L16" s="84"/>
      <c r="M16" s="34"/>
      <c r="N16" s="34"/>
      <c r="O16" s="38"/>
      <c r="P16" s="39"/>
      <c r="Q16" s="38"/>
      <c r="R16" s="34"/>
      <c r="S16" s="34"/>
      <c r="T16" s="34"/>
      <c r="U16" s="69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84"/>
    </row>
    <row r="17" spans="1:32" ht="21.75" customHeight="1" x14ac:dyDescent="0.15">
      <c r="A17" s="138"/>
      <c r="B17" s="116"/>
      <c r="C17" s="116"/>
      <c r="D17" s="116"/>
      <c r="E17" s="71">
        <v>1</v>
      </c>
      <c r="F17" s="71">
        <v>5000</v>
      </c>
      <c r="G17" s="76"/>
      <c r="H17" s="82">
        <f>E17*F17</f>
        <v>5000</v>
      </c>
      <c r="I17" s="76"/>
      <c r="J17" s="116"/>
      <c r="K17" s="116"/>
      <c r="L17" s="78">
        <v>9</v>
      </c>
      <c r="M17" s="33"/>
      <c r="N17" s="34"/>
      <c r="O17" s="35"/>
      <c r="P17" s="36"/>
      <c r="Q17" s="35"/>
      <c r="R17" s="37"/>
      <c r="S17" s="34"/>
      <c r="T17" s="33"/>
      <c r="U17" s="77">
        <v>10</v>
      </c>
      <c r="V17" s="71">
        <v>6</v>
      </c>
      <c r="W17" s="71">
        <v>4</v>
      </c>
      <c r="X17" s="76"/>
      <c r="Y17" s="82">
        <f>AA17*AB17</f>
        <v>2000</v>
      </c>
      <c r="Z17" s="76"/>
      <c r="AA17" s="71">
        <v>2000</v>
      </c>
      <c r="AB17" s="71">
        <v>1</v>
      </c>
      <c r="AC17" s="71">
        <v>25</v>
      </c>
      <c r="AD17" s="71">
        <v>1</v>
      </c>
      <c r="AE17" s="66" t="s">
        <v>112</v>
      </c>
      <c r="AF17" s="85">
        <v>40</v>
      </c>
    </row>
    <row r="18" spans="1:32" ht="18.75" customHeight="1" x14ac:dyDescent="0.15">
      <c r="A18" s="138"/>
      <c r="B18" s="116"/>
      <c r="C18" s="116"/>
      <c r="D18" s="116"/>
      <c r="E18" s="67"/>
      <c r="F18" s="67"/>
      <c r="G18" s="67"/>
      <c r="H18" s="67"/>
      <c r="I18" s="67"/>
      <c r="J18" s="116"/>
      <c r="K18" s="116"/>
      <c r="L18" s="84"/>
      <c r="M18" s="34"/>
      <c r="N18" s="34"/>
      <c r="O18" s="38"/>
      <c r="P18" s="39"/>
      <c r="Q18" s="38"/>
      <c r="R18" s="34"/>
      <c r="S18" s="34"/>
      <c r="T18" s="34"/>
      <c r="U18" s="69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84"/>
    </row>
    <row r="19" spans="1:32" ht="21.75" customHeight="1" x14ac:dyDescent="0.15">
      <c r="A19" s="138"/>
      <c r="B19" s="116"/>
      <c r="C19" s="116"/>
      <c r="D19" s="116"/>
      <c r="E19" s="71">
        <v>1</v>
      </c>
      <c r="F19" s="71">
        <v>5000</v>
      </c>
      <c r="G19" s="76"/>
      <c r="H19" s="76"/>
      <c r="I19" s="81">
        <f>E19*F19</f>
        <v>5000</v>
      </c>
      <c r="J19" s="116"/>
      <c r="K19" s="116"/>
      <c r="L19" s="78">
        <v>11</v>
      </c>
      <c r="M19" s="33"/>
      <c r="N19" s="34"/>
      <c r="O19" s="35"/>
      <c r="P19" s="36"/>
      <c r="Q19" s="35"/>
      <c r="R19" s="33"/>
      <c r="S19" s="34"/>
      <c r="T19" s="33"/>
      <c r="U19" s="77">
        <v>12</v>
      </c>
      <c r="V19" s="71"/>
      <c r="W19" s="71"/>
      <c r="X19" s="76"/>
      <c r="Y19" s="76"/>
      <c r="Z19" s="81">
        <f>AA19*AB19</f>
        <v>1500</v>
      </c>
      <c r="AA19" s="71">
        <v>1500</v>
      </c>
      <c r="AB19" s="71">
        <v>1</v>
      </c>
      <c r="AC19" s="71">
        <v>20</v>
      </c>
      <c r="AD19" s="71">
        <v>1</v>
      </c>
      <c r="AE19" s="66" t="s">
        <v>113</v>
      </c>
      <c r="AF19" s="85">
        <v>40</v>
      </c>
    </row>
    <row r="20" spans="1:32" ht="18.75" customHeight="1" x14ac:dyDescent="0.15">
      <c r="A20" s="70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9"/>
      <c r="M20" s="34"/>
      <c r="N20" s="34"/>
      <c r="O20" s="38"/>
      <c r="P20" s="39"/>
      <c r="Q20" s="38"/>
      <c r="R20" s="34"/>
      <c r="S20" s="34"/>
      <c r="T20" s="34"/>
      <c r="U20" s="70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9"/>
    </row>
    <row r="21" spans="1:32" ht="20.25" customHeight="1" x14ac:dyDescent="0.15">
      <c r="A21" s="40"/>
      <c r="B21" s="1"/>
      <c r="C21" s="34"/>
      <c r="D21" s="34"/>
      <c r="E21" s="34"/>
      <c r="F21" s="34"/>
      <c r="G21" s="128">
        <f t="shared" ref="G21:I21" si="0">SUM(G9:G19)</f>
        <v>5700</v>
      </c>
      <c r="H21" s="129">
        <f t="shared" si="0"/>
        <v>5375</v>
      </c>
      <c r="I21" s="130">
        <f t="shared" si="0"/>
        <v>5000</v>
      </c>
      <c r="J21" s="131"/>
      <c r="K21" s="126" t="s">
        <v>65</v>
      </c>
      <c r="L21" s="127"/>
      <c r="M21" s="97"/>
      <c r="N21" s="102"/>
      <c r="O21" s="102"/>
      <c r="P21" s="102"/>
      <c r="Q21" s="102"/>
      <c r="R21" s="102"/>
      <c r="S21" s="102"/>
      <c r="T21" s="102"/>
      <c r="U21" s="126" t="s">
        <v>65</v>
      </c>
      <c r="V21" s="127"/>
      <c r="W21" s="131"/>
      <c r="X21" s="128">
        <f t="shared" ref="X21:Z21" si="1">SUM(X9:X19)</f>
        <v>2205</v>
      </c>
      <c r="Y21" s="129">
        <f t="shared" si="1"/>
        <v>2450</v>
      </c>
      <c r="Z21" s="130">
        <f t="shared" si="1"/>
        <v>2500</v>
      </c>
      <c r="AA21" s="34"/>
      <c r="AB21" s="34"/>
      <c r="AC21" s="34"/>
      <c r="AD21" s="34"/>
      <c r="AE21" s="1"/>
      <c r="AF21" s="41"/>
    </row>
    <row r="22" spans="1:32" ht="20.25" customHeight="1" x14ac:dyDescent="0.15">
      <c r="A22" s="40"/>
      <c r="B22" s="1"/>
      <c r="C22" s="34"/>
      <c r="D22" s="34"/>
      <c r="E22" s="34"/>
      <c r="F22" s="34"/>
      <c r="G22" s="93"/>
      <c r="H22" s="95"/>
      <c r="I22" s="93"/>
      <c r="J22" s="98"/>
      <c r="K22" s="90"/>
      <c r="L22" s="91"/>
      <c r="M22" s="125" t="s">
        <v>31</v>
      </c>
      <c r="N22" s="98"/>
      <c r="O22" s="98"/>
      <c r="P22" s="20"/>
      <c r="Q22" s="20"/>
      <c r="R22" s="124" t="s">
        <v>66</v>
      </c>
      <c r="S22" s="98"/>
      <c r="T22" s="60"/>
      <c r="U22" s="90"/>
      <c r="V22" s="91"/>
      <c r="W22" s="98"/>
      <c r="X22" s="93"/>
      <c r="Y22" s="95"/>
      <c r="Z22" s="93"/>
      <c r="AA22" s="34"/>
      <c r="AB22" s="34"/>
      <c r="AC22" s="34"/>
      <c r="AD22" s="34"/>
      <c r="AE22" s="1"/>
      <c r="AF22" s="41"/>
    </row>
    <row r="23" spans="1:32" ht="36.75" customHeight="1" x14ac:dyDescent="0.15">
      <c r="A23" s="40"/>
      <c r="B23" s="1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1"/>
      <c r="AF23" s="41"/>
    </row>
    <row r="24" spans="1:32" ht="31.5" customHeight="1" x14ac:dyDescent="0.25">
      <c r="A24" s="40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43"/>
      <c r="AA24" s="43"/>
      <c r="AB24" s="43" t="s">
        <v>67</v>
      </c>
      <c r="AC24" s="43"/>
      <c r="AD24" s="43"/>
      <c r="AE24" s="44">
        <v>90</v>
      </c>
      <c r="AF24" s="45" t="s">
        <v>68</v>
      </c>
    </row>
    <row r="25" spans="1:32" ht="36.75" customHeight="1" x14ac:dyDescent="0.25">
      <c r="A25" s="13" t="s">
        <v>69</v>
      </c>
      <c r="B25" s="46">
        <f>G21+X21</f>
        <v>7905</v>
      </c>
      <c r="C25" s="11" t="s">
        <v>70</v>
      </c>
      <c r="D25" s="1"/>
      <c r="E25" s="1"/>
      <c r="F25" s="1"/>
      <c r="G25" s="86" t="s">
        <v>71</v>
      </c>
      <c r="H25" s="87"/>
      <c r="I25" s="43" t="s">
        <v>72</v>
      </c>
      <c r="J25" s="43"/>
      <c r="K25" s="4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43"/>
      <c r="AA25" s="43"/>
      <c r="AB25" s="43" t="s">
        <v>73</v>
      </c>
      <c r="AC25" s="43"/>
      <c r="AD25" s="43"/>
      <c r="AE25" s="47">
        <f>(B28*AE24)/(1000*100)</f>
        <v>20.907</v>
      </c>
      <c r="AF25" s="45" t="s">
        <v>74</v>
      </c>
    </row>
    <row r="26" spans="1:32" ht="36.75" customHeight="1" x14ac:dyDescent="0.25">
      <c r="A26" s="48" t="s">
        <v>75</v>
      </c>
      <c r="B26" s="49">
        <f>H21+Y21</f>
        <v>7825</v>
      </c>
      <c r="C26" s="11" t="s">
        <v>70</v>
      </c>
      <c r="D26" s="1"/>
      <c r="E26" s="1"/>
      <c r="F26" s="1"/>
      <c r="G26" s="86" t="s">
        <v>76</v>
      </c>
      <c r="H26" s="87"/>
      <c r="I26" s="43" t="s">
        <v>77</v>
      </c>
      <c r="J26" s="43"/>
      <c r="K26" s="4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43"/>
      <c r="AA26" s="43"/>
      <c r="AB26" s="43" t="s">
        <v>78</v>
      </c>
      <c r="AC26" s="43"/>
      <c r="AD26" s="43"/>
      <c r="AE26" s="47">
        <f>AE25*0.2</f>
        <v>4.1814</v>
      </c>
      <c r="AF26" s="45" t="s">
        <v>74</v>
      </c>
    </row>
    <row r="27" spans="1:32" ht="36.75" customHeight="1" x14ac:dyDescent="0.25">
      <c r="A27" s="48" t="s">
        <v>79</v>
      </c>
      <c r="B27" s="50">
        <f>I21+Z21</f>
        <v>7500</v>
      </c>
      <c r="C27" s="11" t="s">
        <v>70</v>
      </c>
      <c r="D27" s="1"/>
      <c r="E27" s="1"/>
      <c r="F27" s="1"/>
      <c r="G27" s="86" t="s">
        <v>80</v>
      </c>
      <c r="H27" s="87"/>
      <c r="I27" s="43" t="s">
        <v>81</v>
      </c>
      <c r="J27" s="43"/>
      <c r="K27" s="4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43"/>
      <c r="AA27" s="43"/>
      <c r="AB27" s="43" t="s">
        <v>82</v>
      </c>
      <c r="AC27" s="43"/>
      <c r="AD27" s="43"/>
      <c r="AE27" s="47">
        <f>AE25+AE26</f>
        <v>25.0884</v>
      </c>
      <c r="AF27" s="45" t="s">
        <v>74</v>
      </c>
    </row>
    <row r="28" spans="1:32" ht="36.75" customHeight="1" x14ac:dyDescent="0.3">
      <c r="A28" s="48" t="s">
        <v>65</v>
      </c>
      <c r="B28" s="51">
        <f>B25+B26+B27</f>
        <v>23230</v>
      </c>
      <c r="C28" s="11" t="s">
        <v>70</v>
      </c>
      <c r="D28" s="1"/>
      <c r="E28" s="1"/>
      <c r="F28" s="1"/>
      <c r="G28" s="86" t="s">
        <v>83</v>
      </c>
      <c r="H28" s="87"/>
      <c r="I28" s="43" t="s">
        <v>84</v>
      </c>
      <c r="J28" s="43"/>
      <c r="K28" s="4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43"/>
      <c r="AA28" s="43"/>
      <c r="AB28" s="52" t="s">
        <v>85</v>
      </c>
      <c r="AC28" s="43"/>
      <c r="AD28" s="43"/>
      <c r="AE28" s="53">
        <f>AE27*1000/(380*1.73)</f>
        <v>38.163066626102832</v>
      </c>
      <c r="AF28" s="45" t="s">
        <v>86</v>
      </c>
    </row>
    <row r="29" spans="1:32" ht="24.75" customHeight="1" x14ac:dyDescent="0.15">
      <c r="A29" s="17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1"/>
    </row>
    <row r="30" spans="1:32" ht="36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30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30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30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4.2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30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30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30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30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4.2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4.2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4.2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4.2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4.2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4.2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4.2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4.2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4.2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4.2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4.2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4.2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4.2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4.2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4.2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4.2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4.2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4.2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4.2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4.2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4.2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4.2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4.2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4.2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4.2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4.2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4.2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4.2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4.2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4.2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4.2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4.2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4.2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4.2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4.2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4.2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4.2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4.2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4.2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4.2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4.2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4.2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4.2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4.2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4.2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4.2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4.2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4.2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4.2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4.2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4.2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4.2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4.2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4.2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4.2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4.2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4.2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4.2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4.2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4.2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4.2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4.2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</sheetData>
  <mergeCells count="172">
    <mergeCell ref="AA19:AA20"/>
    <mergeCell ref="AB19:AB20"/>
    <mergeCell ref="AC19:AC20"/>
    <mergeCell ref="AD19:AD20"/>
    <mergeCell ref="AE19:AE20"/>
    <mergeCell ref="AF19:AF20"/>
    <mergeCell ref="Z19:Z20"/>
    <mergeCell ref="X7:Z7"/>
    <mergeCell ref="AA13:AA14"/>
    <mergeCell ref="X13:X14"/>
    <mergeCell ref="Y13:Y14"/>
    <mergeCell ref="Z13:Z14"/>
    <mergeCell ref="AB11:AB12"/>
    <mergeCell ref="AC11:AC12"/>
    <mergeCell ref="Z11:Z12"/>
    <mergeCell ref="AF9:AF10"/>
    <mergeCell ref="AF7:AF8"/>
    <mergeCell ref="AA7:AA8"/>
    <mergeCell ref="AB7:AB8"/>
    <mergeCell ref="AA11:AA12"/>
    <mergeCell ref="AA9:AA10"/>
    <mergeCell ref="AB9:AB10"/>
    <mergeCell ref="AC9:AC10"/>
    <mergeCell ref="AD9:AD10"/>
    <mergeCell ref="AE9:AE10"/>
    <mergeCell ref="AC7:AD7"/>
    <mergeCell ref="AB13:AB14"/>
    <mergeCell ref="AD13:AD14"/>
    <mergeCell ref="AE13:AE14"/>
    <mergeCell ref="AF13:AF14"/>
    <mergeCell ref="X9:X10"/>
    <mergeCell ref="W21:W22"/>
    <mergeCell ref="X21:X22"/>
    <mergeCell ref="Y21:Y22"/>
    <mergeCell ref="Z21:Z22"/>
    <mergeCell ref="R22:S22"/>
    <mergeCell ref="K21:L22"/>
    <mergeCell ref="U15:U16"/>
    <mergeCell ref="V15:V16"/>
    <mergeCell ref="U9:U10"/>
    <mergeCell ref="V9:V10"/>
    <mergeCell ref="W9:W10"/>
    <mergeCell ref="V19:V20"/>
    <mergeCell ref="W19:W20"/>
    <mergeCell ref="U13:U14"/>
    <mergeCell ref="V13:V14"/>
    <mergeCell ref="W13:W14"/>
    <mergeCell ref="U17:U18"/>
    <mergeCell ref="V17:V18"/>
    <mergeCell ref="U19:U20"/>
    <mergeCell ref="W11:W12"/>
    <mergeCell ref="X19:X20"/>
    <mergeCell ref="Y19:Y20"/>
    <mergeCell ref="Y9:Y10"/>
    <mergeCell ref="Z9:Z10"/>
    <mergeCell ref="AC17:AC18"/>
    <mergeCell ref="AD17:AD18"/>
    <mergeCell ref="AE17:AE18"/>
    <mergeCell ref="AF17:AF18"/>
    <mergeCell ref="AF15:AF16"/>
    <mergeCell ref="W17:W18"/>
    <mergeCell ref="W15:W16"/>
    <mergeCell ref="X15:X16"/>
    <mergeCell ref="Y15:Y16"/>
    <mergeCell ref="Z15:Z16"/>
    <mergeCell ref="AA15:AA16"/>
    <mergeCell ref="AB15:AB16"/>
    <mergeCell ref="AB17:AB18"/>
    <mergeCell ref="G27:H27"/>
    <mergeCell ref="G28:H28"/>
    <mergeCell ref="G25:H25"/>
    <mergeCell ref="G26:H26"/>
    <mergeCell ref="G17:G18"/>
    <mergeCell ref="H17:H18"/>
    <mergeCell ref="G19:G20"/>
    <mergeCell ref="F19:F20"/>
    <mergeCell ref="G13:G14"/>
    <mergeCell ref="H13:H14"/>
    <mergeCell ref="G21:G22"/>
    <mergeCell ref="H21:H22"/>
    <mergeCell ref="F7:F8"/>
    <mergeCell ref="G7:I7"/>
    <mergeCell ref="J7:K7"/>
    <mergeCell ref="G15:G16"/>
    <mergeCell ref="H9:H10"/>
    <mergeCell ref="I9:I10"/>
    <mergeCell ref="J9:J10"/>
    <mergeCell ref="K9:K10"/>
    <mergeCell ref="F11:F12"/>
    <mergeCell ref="G9:G10"/>
    <mergeCell ref="F9:F10"/>
    <mergeCell ref="K13:K14"/>
    <mergeCell ref="G11:G12"/>
    <mergeCell ref="H11:H12"/>
    <mergeCell ref="I11:I12"/>
    <mergeCell ref="J11:J12"/>
    <mergeCell ref="K11:K12"/>
    <mergeCell ref="L11:L12"/>
    <mergeCell ref="I13:I14"/>
    <mergeCell ref="F17:F18"/>
    <mergeCell ref="H15:H16"/>
    <mergeCell ref="F15:F16"/>
    <mergeCell ref="L13:L14"/>
    <mergeCell ref="D13:D14"/>
    <mergeCell ref="D15:D20"/>
    <mergeCell ref="C15:C20"/>
    <mergeCell ref="B15:B20"/>
    <mergeCell ref="A7:A8"/>
    <mergeCell ref="C7:D7"/>
    <mergeCell ref="E7:E8"/>
    <mergeCell ref="A13:A14"/>
    <mergeCell ref="B13:B14"/>
    <mergeCell ref="C13:C14"/>
    <mergeCell ref="B11:B12"/>
    <mergeCell ref="C11:C12"/>
    <mergeCell ref="D11:D12"/>
    <mergeCell ref="A15:A20"/>
    <mergeCell ref="E11:E12"/>
    <mergeCell ref="E9:E10"/>
    <mergeCell ref="E19:E20"/>
    <mergeCell ref="E17:E18"/>
    <mergeCell ref="E13:E14"/>
    <mergeCell ref="E15:E16"/>
    <mergeCell ref="F13:F14"/>
    <mergeCell ref="I17:I18"/>
    <mergeCell ref="I15:I16"/>
    <mergeCell ref="L15:L16"/>
    <mergeCell ref="J13:J14"/>
    <mergeCell ref="K15:K20"/>
    <mergeCell ref="J15:J20"/>
    <mergeCell ref="M4:P4"/>
    <mergeCell ref="M3:P3"/>
    <mergeCell ref="U11:U12"/>
    <mergeCell ref="V11:V12"/>
    <mergeCell ref="I21:I22"/>
    <mergeCell ref="J21:J22"/>
    <mergeCell ref="H19:H20"/>
    <mergeCell ref="I19:I20"/>
    <mergeCell ref="L19:L20"/>
    <mergeCell ref="L17:L18"/>
    <mergeCell ref="L9:L10"/>
    <mergeCell ref="L7:L8"/>
    <mergeCell ref="M22:O22"/>
    <mergeCell ref="M21:T21"/>
    <mergeCell ref="U21:V22"/>
    <mergeCell ref="U7:U8"/>
    <mergeCell ref="V7:W7"/>
    <mergeCell ref="M7:T7"/>
    <mergeCell ref="A2:AF2"/>
    <mergeCell ref="J3:L3"/>
    <mergeCell ref="AD3:AE3"/>
    <mergeCell ref="J4:L4"/>
    <mergeCell ref="X17:X18"/>
    <mergeCell ref="Y17:Y18"/>
    <mergeCell ref="Z17:Z18"/>
    <mergeCell ref="AA17:AA18"/>
    <mergeCell ref="AD11:AD12"/>
    <mergeCell ref="AE11:AE12"/>
    <mergeCell ref="AF11:AF12"/>
    <mergeCell ref="X11:X12"/>
    <mergeCell ref="Y11:Y12"/>
    <mergeCell ref="AC13:AC14"/>
    <mergeCell ref="AC15:AC16"/>
    <mergeCell ref="AD15:AD16"/>
    <mergeCell ref="AE15:AE16"/>
    <mergeCell ref="Z3:AC3"/>
    <mergeCell ref="Z4:AC4"/>
    <mergeCell ref="A11:A12"/>
    <mergeCell ref="A9:A10"/>
    <mergeCell ref="B9:B10"/>
    <mergeCell ref="C9:C10"/>
    <mergeCell ref="D9:D10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00"/>
  <sheetViews>
    <sheetView workbookViewId="0"/>
  </sheetViews>
  <sheetFormatPr defaultColWidth="12.67578125" defaultRowHeight="15" customHeight="1" x14ac:dyDescent="0.15"/>
  <cols>
    <col min="1" max="1" width="14.15625" customWidth="1"/>
    <col min="2" max="2" width="27.23828125" customWidth="1"/>
    <col min="3" max="3" width="12.26953125" customWidth="1"/>
    <col min="4" max="6" width="11.59375" customWidth="1"/>
    <col min="7" max="9" width="16.85546875" customWidth="1"/>
    <col min="10" max="10" width="14.29296875" customWidth="1"/>
    <col min="11" max="11" width="12.9453125" customWidth="1"/>
    <col min="12" max="12" width="10.3828125" customWidth="1"/>
    <col min="13" max="13" width="5.93359375" customWidth="1"/>
    <col min="14" max="14" width="4.98828125" customWidth="1"/>
    <col min="15" max="16" width="5.93359375" customWidth="1"/>
    <col min="17" max="18" width="5.66015625" customWidth="1"/>
    <col min="19" max="19" width="4.98828125" customWidth="1"/>
    <col min="20" max="20" width="5.66015625" customWidth="1"/>
    <col min="21" max="21" width="10.3828125" customWidth="1"/>
    <col min="22" max="22" width="11.8671875" customWidth="1"/>
    <col min="23" max="23" width="11.32421875" customWidth="1"/>
    <col min="24" max="26" width="16.85546875" customWidth="1"/>
    <col min="27" max="27" width="14.42578125" customWidth="1"/>
    <col min="28" max="28" width="11.0546875" customWidth="1"/>
    <col min="29" max="29" width="15.23828125" customWidth="1"/>
    <col min="30" max="30" width="12.26953125" customWidth="1"/>
    <col min="31" max="31" width="26.69921875" customWidth="1"/>
    <col min="32" max="32" width="15.91015625" customWidth="1"/>
  </cols>
  <sheetData>
    <row r="1" spans="1:32" ht="78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1" customHeight="1" x14ac:dyDescent="0.4">
      <c r="A2" s="105" t="s">
        <v>114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7"/>
    </row>
    <row r="3" spans="1:32" ht="27.75" customHeight="1" x14ac:dyDescent="0.25">
      <c r="A3" s="10"/>
      <c r="B3" s="11" t="s">
        <v>1</v>
      </c>
      <c r="C3" s="4"/>
      <c r="D3" s="63" t="s">
        <v>84</v>
      </c>
      <c r="E3" s="63"/>
      <c r="F3" s="63"/>
      <c r="G3" s="63"/>
      <c r="H3" s="63"/>
      <c r="I3" s="4"/>
      <c r="J3" s="86" t="s">
        <v>3</v>
      </c>
      <c r="K3" s="87"/>
      <c r="L3" s="87"/>
      <c r="M3" s="134" t="s">
        <v>4</v>
      </c>
      <c r="N3" s="135"/>
      <c r="O3" s="135"/>
      <c r="P3" s="135"/>
      <c r="Q3" s="11"/>
      <c r="R3" s="11"/>
      <c r="S3" s="4"/>
      <c r="T3" s="4"/>
      <c r="U3" s="13"/>
      <c r="V3" s="13"/>
      <c r="W3" s="4"/>
      <c r="X3" s="4"/>
      <c r="Y3" s="14"/>
      <c r="Z3" s="109" t="s">
        <v>5</v>
      </c>
      <c r="AA3" s="87"/>
      <c r="AB3" s="87"/>
      <c r="AC3" s="87"/>
      <c r="AD3" s="137" t="s">
        <v>115</v>
      </c>
      <c r="AE3" s="135"/>
      <c r="AF3" s="62"/>
    </row>
    <row r="4" spans="1:32" ht="31.5" customHeight="1" x14ac:dyDescent="0.25">
      <c r="A4" s="10"/>
      <c r="B4" s="11" t="s">
        <v>7</v>
      </c>
      <c r="C4" s="4"/>
      <c r="D4" s="12" t="s">
        <v>8</v>
      </c>
      <c r="E4" s="12"/>
      <c r="F4" s="12"/>
      <c r="G4" s="12"/>
      <c r="H4" s="12"/>
      <c r="I4" s="4"/>
      <c r="J4" s="86" t="s">
        <v>9</v>
      </c>
      <c r="K4" s="87"/>
      <c r="L4" s="87"/>
      <c r="M4" s="63" t="s">
        <v>116</v>
      </c>
      <c r="N4" s="63"/>
      <c r="O4" s="63"/>
      <c r="P4" s="64"/>
      <c r="Q4" s="11"/>
      <c r="R4" s="11"/>
      <c r="S4" s="4"/>
      <c r="T4" s="4"/>
      <c r="U4" s="13"/>
      <c r="V4" s="13"/>
      <c r="W4" s="4"/>
      <c r="X4" s="4"/>
      <c r="Y4" s="14"/>
      <c r="Z4" s="109" t="s">
        <v>11</v>
      </c>
      <c r="AA4" s="87"/>
      <c r="AB4" s="87"/>
      <c r="AC4" s="87"/>
      <c r="AD4" s="12" t="s">
        <v>12</v>
      </c>
      <c r="AE4" s="12"/>
      <c r="AF4" s="65"/>
    </row>
    <row r="5" spans="1:32" ht="31.5" customHeight="1" x14ac:dyDescent="0.25">
      <c r="A5" s="10"/>
      <c r="B5" s="11" t="s">
        <v>13</v>
      </c>
      <c r="C5" s="4"/>
      <c r="D5" s="12" t="s">
        <v>14</v>
      </c>
      <c r="E5" s="12"/>
      <c r="F5" s="12"/>
      <c r="G5" s="12"/>
      <c r="H5" s="12"/>
      <c r="I5" s="4"/>
      <c r="J5" s="4"/>
      <c r="K5" s="4"/>
      <c r="L5" s="14"/>
      <c r="M5" s="14"/>
      <c r="N5" s="14"/>
      <c r="O5" s="14"/>
      <c r="P5" s="14"/>
      <c r="Q5" s="14"/>
      <c r="R5" s="14"/>
      <c r="S5" s="14"/>
      <c r="T5" s="4"/>
      <c r="U5" s="14"/>
      <c r="V5" s="4"/>
      <c r="W5" s="4"/>
      <c r="X5" s="14"/>
      <c r="Y5" s="14"/>
      <c r="Z5" s="4"/>
      <c r="AA5" s="4"/>
      <c r="AB5" s="4"/>
      <c r="AC5" s="14"/>
      <c r="AD5" s="14"/>
      <c r="AE5" s="16"/>
      <c r="AF5" s="15"/>
    </row>
    <row r="6" spans="1:32" ht="29.25" customHeight="1" x14ac:dyDescent="0.25">
      <c r="A6" s="17"/>
      <c r="B6" s="18"/>
      <c r="C6" s="19"/>
      <c r="D6" s="19"/>
      <c r="E6" s="19"/>
      <c r="F6" s="19"/>
      <c r="G6" s="19"/>
      <c r="H6" s="19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19"/>
      <c r="U6" s="20"/>
      <c r="V6" s="20"/>
      <c r="W6" s="20"/>
      <c r="X6" s="19"/>
      <c r="Y6" s="19"/>
      <c r="Z6" s="20"/>
      <c r="AA6" s="19"/>
      <c r="AB6" s="19"/>
      <c r="AC6" s="19"/>
      <c r="AD6" s="19"/>
      <c r="AE6" s="20"/>
      <c r="AF6" s="21"/>
    </row>
    <row r="7" spans="1:32" ht="63" customHeight="1" x14ac:dyDescent="0.25">
      <c r="A7" s="112" t="s">
        <v>15</v>
      </c>
      <c r="B7" s="22" t="s">
        <v>16</v>
      </c>
      <c r="C7" s="113" t="s">
        <v>17</v>
      </c>
      <c r="D7" s="107"/>
      <c r="E7" s="118" t="s">
        <v>18</v>
      </c>
      <c r="F7" s="115" t="s">
        <v>19</v>
      </c>
      <c r="G7" s="113" t="s">
        <v>20</v>
      </c>
      <c r="H7" s="106"/>
      <c r="I7" s="107"/>
      <c r="J7" s="114" t="s">
        <v>21</v>
      </c>
      <c r="K7" s="117"/>
      <c r="L7" s="110" t="s">
        <v>22</v>
      </c>
      <c r="M7" s="133" t="s">
        <v>23</v>
      </c>
      <c r="N7" s="106"/>
      <c r="O7" s="106"/>
      <c r="P7" s="106"/>
      <c r="Q7" s="106"/>
      <c r="R7" s="106"/>
      <c r="S7" s="106"/>
      <c r="T7" s="107"/>
      <c r="U7" s="110" t="s">
        <v>22</v>
      </c>
      <c r="V7" s="114" t="s">
        <v>21</v>
      </c>
      <c r="W7" s="107"/>
      <c r="X7" s="113" t="s">
        <v>20</v>
      </c>
      <c r="Y7" s="106"/>
      <c r="Z7" s="107"/>
      <c r="AA7" s="115" t="s">
        <v>19</v>
      </c>
      <c r="AB7" s="115" t="s">
        <v>18</v>
      </c>
      <c r="AC7" s="113" t="s">
        <v>17</v>
      </c>
      <c r="AD7" s="107"/>
      <c r="AE7" s="22" t="s">
        <v>16</v>
      </c>
      <c r="AF7" s="112" t="s">
        <v>15</v>
      </c>
    </row>
    <row r="8" spans="1:32" ht="53.25" customHeight="1" x14ac:dyDescent="0.15">
      <c r="A8" s="93"/>
      <c r="B8" s="22" t="s">
        <v>24</v>
      </c>
      <c r="C8" s="22" t="s">
        <v>25</v>
      </c>
      <c r="D8" s="22" t="s">
        <v>26</v>
      </c>
      <c r="E8" s="93"/>
      <c r="F8" s="72"/>
      <c r="G8" s="54" t="s">
        <v>27</v>
      </c>
      <c r="H8" s="55" t="s">
        <v>28</v>
      </c>
      <c r="I8" s="56" t="s">
        <v>29</v>
      </c>
      <c r="J8" s="22" t="s">
        <v>30</v>
      </c>
      <c r="K8" s="22" t="s">
        <v>31</v>
      </c>
      <c r="L8" s="93"/>
      <c r="M8" s="57"/>
      <c r="N8" s="57"/>
      <c r="O8" s="30" t="s">
        <v>27</v>
      </c>
      <c r="P8" s="30" t="s">
        <v>28</v>
      </c>
      <c r="Q8" s="30" t="s">
        <v>29</v>
      </c>
      <c r="R8" s="57"/>
      <c r="S8" s="57"/>
      <c r="T8" s="58"/>
      <c r="U8" s="111"/>
      <c r="V8" s="23" t="s">
        <v>31</v>
      </c>
      <c r="W8" s="23" t="s">
        <v>30</v>
      </c>
      <c r="X8" s="24" t="s">
        <v>27</v>
      </c>
      <c r="Y8" s="25" t="s">
        <v>28</v>
      </c>
      <c r="Z8" s="26" t="s">
        <v>29</v>
      </c>
      <c r="AA8" s="116"/>
      <c r="AB8" s="116"/>
      <c r="AC8" s="23" t="s">
        <v>26</v>
      </c>
      <c r="AD8" s="23" t="s">
        <v>25</v>
      </c>
      <c r="AE8" s="32" t="s">
        <v>24</v>
      </c>
      <c r="AF8" s="111"/>
    </row>
    <row r="9" spans="1:32" ht="21.75" customHeight="1" x14ac:dyDescent="0.15">
      <c r="A9" s="73">
        <v>40</v>
      </c>
      <c r="B9" s="74" t="s">
        <v>88</v>
      </c>
      <c r="C9" s="75">
        <v>3</v>
      </c>
      <c r="D9" s="75" t="s">
        <v>117</v>
      </c>
      <c r="E9" s="75">
        <v>1</v>
      </c>
      <c r="F9" s="75">
        <v>2100</v>
      </c>
      <c r="G9" s="121">
        <f>E9*F9</f>
        <v>2100</v>
      </c>
      <c r="H9" s="80"/>
      <c r="I9" s="80"/>
      <c r="J9" s="75" t="s">
        <v>118</v>
      </c>
      <c r="K9" s="75">
        <v>4</v>
      </c>
      <c r="L9" s="123">
        <v>1</v>
      </c>
      <c r="M9" s="33"/>
      <c r="N9" s="34"/>
      <c r="O9" s="35"/>
      <c r="P9" s="36"/>
      <c r="Q9" s="35"/>
      <c r="R9" s="37"/>
      <c r="S9" s="34"/>
      <c r="T9" s="33"/>
      <c r="U9" s="122">
        <v>2</v>
      </c>
      <c r="V9" s="75">
        <v>4</v>
      </c>
      <c r="W9" s="75" t="s">
        <v>118</v>
      </c>
      <c r="X9" s="121">
        <f>AA9*AB9</f>
        <v>1200</v>
      </c>
      <c r="Y9" s="80"/>
      <c r="Z9" s="80"/>
      <c r="AA9" s="75">
        <v>1200</v>
      </c>
      <c r="AB9" s="75">
        <v>1</v>
      </c>
      <c r="AC9" s="75" t="s">
        <v>119</v>
      </c>
      <c r="AD9" s="75">
        <v>3</v>
      </c>
      <c r="AE9" s="74" t="s">
        <v>97</v>
      </c>
      <c r="AF9" s="83">
        <v>40</v>
      </c>
    </row>
    <row r="10" spans="1:32" ht="18.75" customHeight="1" x14ac:dyDescent="0.15">
      <c r="A10" s="138"/>
      <c r="B10" s="116"/>
      <c r="C10" s="116"/>
      <c r="D10" s="116"/>
      <c r="E10" s="67"/>
      <c r="F10" s="67"/>
      <c r="G10" s="67"/>
      <c r="H10" s="67"/>
      <c r="I10" s="67"/>
      <c r="J10" s="67"/>
      <c r="K10" s="67"/>
      <c r="L10" s="84"/>
      <c r="M10" s="34"/>
      <c r="N10" s="34"/>
      <c r="O10" s="38"/>
      <c r="P10" s="39"/>
      <c r="Q10" s="38"/>
      <c r="R10" s="34"/>
      <c r="S10" s="34"/>
      <c r="T10" s="34"/>
      <c r="U10" s="69"/>
      <c r="V10" s="67"/>
      <c r="W10" s="67"/>
      <c r="X10" s="67"/>
      <c r="Y10" s="67"/>
      <c r="Z10" s="67"/>
      <c r="AA10" s="67"/>
      <c r="AB10" s="67"/>
      <c r="AC10" s="116"/>
      <c r="AD10" s="116"/>
      <c r="AE10" s="116"/>
      <c r="AF10" s="139"/>
    </row>
    <row r="11" spans="1:32" ht="21.75" customHeight="1" x14ac:dyDescent="0.15">
      <c r="A11" s="138"/>
      <c r="B11" s="116"/>
      <c r="C11" s="116"/>
      <c r="D11" s="116"/>
      <c r="E11" s="71">
        <v>1</v>
      </c>
      <c r="F11" s="71">
        <v>2440</v>
      </c>
      <c r="G11" s="76"/>
      <c r="H11" s="82">
        <f>E11*F11</f>
        <v>2440</v>
      </c>
      <c r="I11" s="76"/>
      <c r="J11" s="71"/>
      <c r="K11" s="71"/>
      <c r="L11" s="78">
        <v>3</v>
      </c>
      <c r="M11" s="33"/>
      <c r="N11" s="34"/>
      <c r="O11" s="35"/>
      <c r="P11" s="36"/>
      <c r="Q11" s="35"/>
      <c r="R11" s="37"/>
      <c r="S11" s="34"/>
      <c r="T11" s="33"/>
      <c r="U11" s="77">
        <v>4</v>
      </c>
      <c r="V11" s="71"/>
      <c r="W11" s="71"/>
      <c r="X11" s="76"/>
      <c r="Y11" s="82">
        <f>AA11*AB11</f>
        <v>1710</v>
      </c>
      <c r="Z11" s="76"/>
      <c r="AA11" s="71">
        <v>1710</v>
      </c>
      <c r="AB11" s="71">
        <v>1</v>
      </c>
      <c r="AC11" s="116"/>
      <c r="AD11" s="116"/>
      <c r="AE11" s="116"/>
      <c r="AF11" s="139"/>
    </row>
    <row r="12" spans="1:32" ht="18.75" customHeight="1" x14ac:dyDescent="0.15">
      <c r="A12" s="138"/>
      <c r="B12" s="116"/>
      <c r="C12" s="116"/>
      <c r="D12" s="116"/>
      <c r="E12" s="67"/>
      <c r="F12" s="67"/>
      <c r="G12" s="67"/>
      <c r="H12" s="67"/>
      <c r="I12" s="67"/>
      <c r="J12" s="67"/>
      <c r="K12" s="67"/>
      <c r="L12" s="84"/>
      <c r="M12" s="34"/>
      <c r="N12" s="34"/>
      <c r="O12" s="38"/>
      <c r="P12" s="39"/>
      <c r="Q12" s="38"/>
      <c r="R12" s="34"/>
      <c r="S12" s="34"/>
      <c r="T12" s="34"/>
      <c r="U12" s="69"/>
      <c r="V12" s="67"/>
      <c r="W12" s="67"/>
      <c r="X12" s="67"/>
      <c r="Y12" s="67"/>
      <c r="Z12" s="67"/>
      <c r="AA12" s="67"/>
      <c r="AB12" s="67"/>
      <c r="AC12" s="116"/>
      <c r="AD12" s="116"/>
      <c r="AE12" s="116"/>
      <c r="AF12" s="139"/>
    </row>
    <row r="13" spans="1:32" ht="21.75" customHeight="1" x14ac:dyDescent="0.15">
      <c r="A13" s="138"/>
      <c r="B13" s="116"/>
      <c r="C13" s="116"/>
      <c r="D13" s="116"/>
      <c r="E13" s="71">
        <v>1</v>
      </c>
      <c r="F13" s="71">
        <v>1520</v>
      </c>
      <c r="G13" s="76"/>
      <c r="H13" s="76"/>
      <c r="I13" s="81">
        <f>E13*F13</f>
        <v>1520</v>
      </c>
      <c r="J13" s="71"/>
      <c r="K13" s="71"/>
      <c r="L13" s="78">
        <v>5</v>
      </c>
      <c r="M13" s="33"/>
      <c r="N13" s="34"/>
      <c r="O13" s="35"/>
      <c r="P13" s="36"/>
      <c r="Q13" s="35"/>
      <c r="R13" s="33"/>
      <c r="S13" s="34"/>
      <c r="T13" s="33"/>
      <c r="U13" s="77">
        <v>6</v>
      </c>
      <c r="V13" s="71"/>
      <c r="W13" s="71"/>
      <c r="X13" s="76"/>
      <c r="Y13" s="76"/>
      <c r="Z13" s="81">
        <f>AA13*AB13</f>
        <v>2600</v>
      </c>
      <c r="AA13" s="71">
        <v>2600</v>
      </c>
      <c r="AB13" s="71">
        <v>1</v>
      </c>
      <c r="AC13" s="116"/>
      <c r="AD13" s="116"/>
      <c r="AE13" s="116"/>
      <c r="AF13" s="139"/>
    </row>
    <row r="14" spans="1:32" ht="18.75" customHeight="1" x14ac:dyDescent="0.15">
      <c r="A14" s="70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9"/>
      <c r="M14" s="34"/>
      <c r="N14" s="34"/>
      <c r="O14" s="38"/>
      <c r="P14" s="39"/>
      <c r="Q14" s="38"/>
      <c r="R14" s="34"/>
      <c r="S14" s="34"/>
      <c r="T14" s="34"/>
      <c r="U14" s="70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9"/>
    </row>
    <row r="15" spans="1:32" ht="21.75" customHeight="1" x14ac:dyDescent="0.15">
      <c r="A15" s="73">
        <v>40</v>
      </c>
      <c r="B15" s="74" t="s">
        <v>101</v>
      </c>
      <c r="C15" s="75">
        <v>3</v>
      </c>
      <c r="D15" s="75" t="s">
        <v>119</v>
      </c>
      <c r="E15" s="75">
        <v>1</v>
      </c>
      <c r="F15" s="75">
        <v>3800</v>
      </c>
      <c r="G15" s="121">
        <f>E15*F15</f>
        <v>3800</v>
      </c>
      <c r="H15" s="80"/>
      <c r="I15" s="80"/>
      <c r="J15" s="75" t="s">
        <v>118</v>
      </c>
      <c r="K15" s="75">
        <v>6</v>
      </c>
      <c r="L15" s="123">
        <v>7</v>
      </c>
      <c r="M15" s="33"/>
      <c r="N15" s="34"/>
      <c r="O15" s="35"/>
      <c r="P15" s="36"/>
      <c r="Q15" s="35"/>
      <c r="R15" s="37"/>
      <c r="S15" s="34"/>
      <c r="T15" s="33"/>
      <c r="U15" s="122">
        <v>8</v>
      </c>
      <c r="V15" s="75">
        <v>4</v>
      </c>
      <c r="W15" s="75" t="s">
        <v>118</v>
      </c>
      <c r="X15" s="121">
        <f>AA15*AB15</f>
        <v>1200</v>
      </c>
      <c r="Y15" s="80"/>
      <c r="Z15" s="80"/>
      <c r="AA15" s="75">
        <v>1200</v>
      </c>
      <c r="AB15" s="75">
        <v>1</v>
      </c>
      <c r="AC15" s="75" t="s">
        <v>119</v>
      </c>
      <c r="AD15" s="75">
        <v>3</v>
      </c>
      <c r="AE15" s="74" t="s">
        <v>104</v>
      </c>
      <c r="AF15" s="83">
        <v>40</v>
      </c>
    </row>
    <row r="16" spans="1:32" ht="18.75" customHeight="1" x14ac:dyDescent="0.15">
      <c r="A16" s="138"/>
      <c r="B16" s="116"/>
      <c r="C16" s="116"/>
      <c r="D16" s="116"/>
      <c r="E16" s="67"/>
      <c r="F16" s="67"/>
      <c r="G16" s="67"/>
      <c r="H16" s="67"/>
      <c r="I16" s="67"/>
      <c r="J16" s="67"/>
      <c r="K16" s="67"/>
      <c r="L16" s="84"/>
      <c r="M16" s="34"/>
      <c r="N16" s="34"/>
      <c r="O16" s="38"/>
      <c r="P16" s="39"/>
      <c r="Q16" s="38"/>
      <c r="R16" s="34"/>
      <c r="S16" s="34"/>
      <c r="T16" s="34"/>
      <c r="U16" s="69"/>
      <c r="V16" s="67"/>
      <c r="W16" s="67"/>
      <c r="X16" s="67"/>
      <c r="Y16" s="67"/>
      <c r="Z16" s="67"/>
      <c r="AA16" s="67"/>
      <c r="AB16" s="67"/>
      <c r="AC16" s="116"/>
      <c r="AD16" s="116"/>
      <c r="AE16" s="116"/>
      <c r="AF16" s="139"/>
    </row>
    <row r="17" spans="1:32" ht="21.75" customHeight="1" x14ac:dyDescent="0.15">
      <c r="A17" s="138"/>
      <c r="B17" s="116"/>
      <c r="C17" s="116"/>
      <c r="D17" s="116"/>
      <c r="E17" s="71">
        <v>1</v>
      </c>
      <c r="F17" s="71">
        <v>1305</v>
      </c>
      <c r="G17" s="76"/>
      <c r="H17" s="82">
        <f>E17*F17</f>
        <v>1305</v>
      </c>
      <c r="I17" s="76"/>
      <c r="J17" s="71"/>
      <c r="K17" s="71"/>
      <c r="L17" s="78">
        <v>9</v>
      </c>
      <c r="M17" s="33"/>
      <c r="N17" s="34"/>
      <c r="O17" s="35"/>
      <c r="P17" s="36"/>
      <c r="Q17" s="35"/>
      <c r="R17" s="37"/>
      <c r="S17" s="34"/>
      <c r="T17" s="33"/>
      <c r="U17" s="77">
        <v>10</v>
      </c>
      <c r="V17" s="71"/>
      <c r="W17" s="71"/>
      <c r="X17" s="76"/>
      <c r="Y17" s="82">
        <f>AA17*AB17</f>
        <v>2160</v>
      </c>
      <c r="Z17" s="76"/>
      <c r="AA17" s="71">
        <v>2160</v>
      </c>
      <c r="AB17" s="71">
        <v>1</v>
      </c>
      <c r="AC17" s="116"/>
      <c r="AD17" s="116"/>
      <c r="AE17" s="116"/>
      <c r="AF17" s="139"/>
    </row>
    <row r="18" spans="1:32" ht="18.75" customHeight="1" x14ac:dyDescent="0.15">
      <c r="A18" s="138"/>
      <c r="B18" s="116"/>
      <c r="C18" s="116"/>
      <c r="D18" s="116"/>
      <c r="E18" s="67"/>
      <c r="F18" s="67"/>
      <c r="G18" s="67"/>
      <c r="H18" s="67"/>
      <c r="I18" s="67"/>
      <c r="J18" s="67"/>
      <c r="K18" s="67"/>
      <c r="L18" s="84"/>
      <c r="M18" s="34"/>
      <c r="N18" s="34"/>
      <c r="O18" s="38"/>
      <c r="P18" s="39"/>
      <c r="Q18" s="38"/>
      <c r="R18" s="34"/>
      <c r="S18" s="34"/>
      <c r="T18" s="34"/>
      <c r="U18" s="69"/>
      <c r="V18" s="67"/>
      <c r="W18" s="67"/>
      <c r="X18" s="67"/>
      <c r="Y18" s="67"/>
      <c r="Z18" s="67"/>
      <c r="AA18" s="67"/>
      <c r="AB18" s="67"/>
      <c r="AC18" s="116"/>
      <c r="AD18" s="116"/>
      <c r="AE18" s="116"/>
      <c r="AF18" s="139"/>
    </row>
    <row r="19" spans="1:32" ht="21.75" customHeight="1" x14ac:dyDescent="0.15">
      <c r="A19" s="138"/>
      <c r="B19" s="116"/>
      <c r="C19" s="116"/>
      <c r="D19" s="116"/>
      <c r="E19" s="71">
        <v>1</v>
      </c>
      <c r="F19" s="71">
        <v>3080</v>
      </c>
      <c r="G19" s="76"/>
      <c r="H19" s="76"/>
      <c r="I19" s="81">
        <f>E19*F19</f>
        <v>3080</v>
      </c>
      <c r="J19" s="71"/>
      <c r="K19" s="71"/>
      <c r="L19" s="78">
        <v>11</v>
      </c>
      <c r="M19" s="33"/>
      <c r="N19" s="34"/>
      <c r="O19" s="35"/>
      <c r="P19" s="36"/>
      <c r="Q19" s="35"/>
      <c r="R19" s="33"/>
      <c r="S19" s="34"/>
      <c r="T19" s="33"/>
      <c r="U19" s="77">
        <v>12</v>
      </c>
      <c r="V19" s="71"/>
      <c r="W19" s="71"/>
      <c r="X19" s="76"/>
      <c r="Y19" s="76"/>
      <c r="Z19" s="81">
        <f>AA19*AB19</f>
        <v>2000</v>
      </c>
      <c r="AA19" s="71">
        <v>2000</v>
      </c>
      <c r="AB19" s="71">
        <v>1</v>
      </c>
      <c r="AC19" s="116"/>
      <c r="AD19" s="116"/>
      <c r="AE19" s="116"/>
      <c r="AF19" s="139"/>
    </row>
    <row r="20" spans="1:32" ht="18.75" customHeight="1" x14ac:dyDescent="0.15">
      <c r="A20" s="70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9"/>
      <c r="M20" s="34"/>
      <c r="N20" s="34"/>
      <c r="O20" s="38"/>
      <c r="P20" s="39"/>
      <c r="Q20" s="38"/>
      <c r="R20" s="34"/>
      <c r="S20" s="34"/>
      <c r="T20" s="34"/>
      <c r="U20" s="70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9"/>
    </row>
    <row r="21" spans="1:32" ht="21.75" customHeight="1" x14ac:dyDescent="0.15">
      <c r="A21" s="73">
        <v>60</v>
      </c>
      <c r="B21" s="74" t="s">
        <v>42</v>
      </c>
      <c r="C21" s="75">
        <v>3</v>
      </c>
      <c r="D21" s="75" t="s">
        <v>120</v>
      </c>
      <c r="E21" s="75">
        <v>1</v>
      </c>
      <c r="F21" s="75">
        <v>13245</v>
      </c>
      <c r="G21" s="121">
        <f>E21*F21</f>
        <v>13245</v>
      </c>
      <c r="H21" s="80"/>
      <c r="I21" s="80"/>
      <c r="J21" s="75" t="s">
        <v>121</v>
      </c>
      <c r="K21" s="75">
        <v>10</v>
      </c>
      <c r="L21" s="123">
        <v>13</v>
      </c>
      <c r="M21" s="33"/>
      <c r="N21" s="34"/>
      <c r="O21" s="35"/>
      <c r="P21" s="36"/>
      <c r="Q21" s="35"/>
      <c r="R21" s="37"/>
      <c r="S21" s="34"/>
      <c r="T21" s="33"/>
      <c r="U21" s="122">
        <v>14</v>
      </c>
      <c r="V21" s="75">
        <v>10</v>
      </c>
      <c r="W21" s="75" t="s">
        <v>121</v>
      </c>
      <c r="X21" s="121">
        <f>AA21*AB21</f>
        <v>13245</v>
      </c>
      <c r="Y21" s="80"/>
      <c r="Z21" s="80"/>
      <c r="AA21" s="75">
        <v>13245</v>
      </c>
      <c r="AB21" s="75">
        <v>1</v>
      </c>
      <c r="AC21" s="75" t="s">
        <v>120</v>
      </c>
      <c r="AD21" s="75">
        <v>3</v>
      </c>
      <c r="AE21" s="74" t="s">
        <v>43</v>
      </c>
      <c r="AF21" s="83">
        <v>60</v>
      </c>
    </row>
    <row r="22" spans="1:32" ht="18.75" customHeight="1" x14ac:dyDescent="0.15">
      <c r="A22" s="138"/>
      <c r="B22" s="116"/>
      <c r="C22" s="116"/>
      <c r="D22" s="116"/>
      <c r="E22" s="67"/>
      <c r="F22" s="67"/>
      <c r="G22" s="67"/>
      <c r="H22" s="67"/>
      <c r="I22" s="67"/>
      <c r="J22" s="67"/>
      <c r="K22" s="67"/>
      <c r="L22" s="84"/>
      <c r="M22" s="34"/>
      <c r="N22" s="34"/>
      <c r="O22" s="38"/>
      <c r="P22" s="39"/>
      <c r="Q22" s="38"/>
      <c r="R22" s="34"/>
      <c r="S22" s="34"/>
      <c r="T22" s="34"/>
      <c r="U22" s="69"/>
      <c r="V22" s="67"/>
      <c r="W22" s="67"/>
      <c r="X22" s="67"/>
      <c r="Y22" s="67"/>
      <c r="Z22" s="67"/>
      <c r="AA22" s="67"/>
      <c r="AB22" s="67"/>
      <c r="AC22" s="116"/>
      <c r="AD22" s="116"/>
      <c r="AE22" s="116"/>
      <c r="AF22" s="139"/>
    </row>
    <row r="23" spans="1:32" ht="21.75" customHeight="1" x14ac:dyDescent="0.15">
      <c r="A23" s="138"/>
      <c r="B23" s="116"/>
      <c r="C23" s="116"/>
      <c r="D23" s="116"/>
      <c r="E23" s="71">
        <v>1</v>
      </c>
      <c r="F23" s="71">
        <v>13220</v>
      </c>
      <c r="G23" s="76"/>
      <c r="H23" s="82">
        <f>E23*F23</f>
        <v>13220</v>
      </c>
      <c r="I23" s="76"/>
      <c r="J23" s="71"/>
      <c r="K23" s="71"/>
      <c r="L23" s="78">
        <v>15</v>
      </c>
      <c r="M23" s="33"/>
      <c r="N23" s="34"/>
      <c r="O23" s="35"/>
      <c r="P23" s="36"/>
      <c r="Q23" s="35"/>
      <c r="R23" s="37"/>
      <c r="S23" s="34"/>
      <c r="T23" s="33"/>
      <c r="U23" s="77">
        <v>16</v>
      </c>
      <c r="V23" s="71"/>
      <c r="W23" s="71"/>
      <c r="X23" s="76"/>
      <c r="Y23" s="82">
        <f>AA23*AB23</f>
        <v>13220</v>
      </c>
      <c r="Z23" s="76"/>
      <c r="AA23" s="71">
        <v>13220</v>
      </c>
      <c r="AB23" s="71">
        <v>1</v>
      </c>
      <c r="AC23" s="116"/>
      <c r="AD23" s="116"/>
      <c r="AE23" s="116"/>
      <c r="AF23" s="139"/>
    </row>
    <row r="24" spans="1:32" ht="18.75" customHeight="1" x14ac:dyDescent="0.15">
      <c r="A24" s="138"/>
      <c r="B24" s="116"/>
      <c r="C24" s="116"/>
      <c r="D24" s="116"/>
      <c r="E24" s="67"/>
      <c r="F24" s="67"/>
      <c r="G24" s="67"/>
      <c r="H24" s="67"/>
      <c r="I24" s="67"/>
      <c r="J24" s="67"/>
      <c r="K24" s="67"/>
      <c r="L24" s="84"/>
      <c r="M24" s="34"/>
      <c r="N24" s="34"/>
      <c r="O24" s="38"/>
      <c r="P24" s="39"/>
      <c r="Q24" s="38"/>
      <c r="R24" s="34"/>
      <c r="S24" s="34"/>
      <c r="T24" s="34"/>
      <c r="U24" s="69"/>
      <c r="V24" s="67"/>
      <c r="W24" s="67"/>
      <c r="X24" s="67"/>
      <c r="Y24" s="67"/>
      <c r="Z24" s="67"/>
      <c r="AA24" s="67"/>
      <c r="AB24" s="67"/>
      <c r="AC24" s="116"/>
      <c r="AD24" s="116"/>
      <c r="AE24" s="116"/>
      <c r="AF24" s="139"/>
    </row>
    <row r="25" spans="1:32" ht="21.75" customHeight="1" x14ac:dyDescent="0.15">
      <c r="A25" s="138"/>
      <c r="B25" s="116"/>
      <c r="C25" s="116"/>
      <c r="D25" s="116"/>
      <c r="E25" s="71">
        <v>1</v>
      </c>
      <c r="F25" s="71">
        <v>13210</v>
      </c>
      <c r="G25" s="76"/>
      <c r="H25" s="76"/>
      <c r="I25" s="81">
        <f>E25*F25</f>
        <v>13210</v>
      </c>
      <c r="J25" s="71"/>
      <c r="K25" s="71"/>
      <c r="L25" s="78">
        <v>17</v>
      </c>
      <c r="M25" s="33"/>
      <c r="N25" s="34"/>
      <c r="O25" s="35"/>
      <c r="P25" s="36"/>
      <c r="Q25" s="35"/>
      <c r="R25" s="33"/>
      <c r="S25" s="34"/>
      <c r="T25" s="33"/>
      <c r="U25" s="77">
        <v>18</v>
      </c>
      <c r="V25" s="71"/>
      <c r="W25" s="71"/>
      <c r="X25" s="76"/>
      <c r="Y25" s="76"/>
      <c r="Z25" s="81">
        <f>AA25*AB25</f>
        <v>13210</v>
      </c>
      <c r="AA25" s="71">
        <v>13210</v>
      </c>
      <c r="AB25" s="71">
        <v>1</v>
      </c>
      <c r="AC25" s="116"/>
      <c r="AD25" s="116"/>
      <c r="AE25" s="116"/>
      <c r="AF25" s="139"/>
    </row>
    <row r="26" spans="1:32" ht="18.75" customHeight="1" x14ac:dyDescent="0.15">
      <c r="A26" s="70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9"/>
      <c r="M26" s="34"/>
      <c r="N26" s="34"/>
      <c r="O26" s="38"/>
      <c r="P26" s="39"/>
      <c r="Q26" s="38"/>
      <c r="R26" s="34"/>
      <c r="S26" s="34"/>
      <c r="T26" s="34"/>
      <c r="U26" s="70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9"/>
    </row>
    <row r="27" spans="1:32" ht="21.75" customHeight="1" x14ac:dyDescent="0.15">
      <c r="A27" s="73">
        <v>60</v>
      </c>
      <c r="B27" s="74" t="s">
        <v>44</v>
      </c>
      <c r="C27" s="75">
        <v>3</v>
      </c>
      <c r="D27" s="75" t="s">
        <v>120</v>
      </c>
      <c r="E27" s="75">
        <v>1</v>
      </c>
      <c r="F27" s="75">
        <v>13245</v>
      </c>
      <c r="G27" s="121">
        <f>E27*F27</f>
        <v>13245</v>
      </c>
      <c r="H27" s="80"/>
      <c r="I27" s="80"/>
      <c r="J27" s="75" t="s">
        <v>121</v>
      </c>
      <c r="K27" s="75">
        <v>10</v>
      </c>
      <c r="L27" s="123">
        <v>19</v>
      </c>
      <c r="M27" s="33"/>
      <c r="N27" s="34"/>
      <c r="O27" s="35"/>
      <c r="P27" s="36"/>
      <c r="Q27" s="35"/>
      <c r="R27" s="37"/>
      <c r="S27" s="34"/>
      <c r="T27" s="33"/>
      <c r="U27" s="122">
        <v>20</v>
      </c>
      <c r="V27" s="75">
        <v>10</v>
      </c>
      <c r="W27" s="75" t="s">
        <v>121</v>
      </c>
      <c r="X27" s="121">
        <f>AA27*AB27</f>
        <v>13245</v>
      </c>
      <c r="Y27" s="80"/>
      <c r="Z27" s="80"/>
      <c r="AA27" s="75">
        <v>13245</v>
      </c>
      <c r="AB27" s="75">
        <v>1</v>
      </c>
      <c r="AC27" s="75" t="s">
        <v>120</v>
      </c>
      <c r="AD27" s="75">
        <v>3</v>
      </c>
      <c r="AE27" s="74" t="s">
        <v>45</v>
      </c>
      <c r="AF27" s="83">
        <v>60</v>
      </c>
    </row>
    <row r="28" spans="1:32" ht="18.75" customHeight="1" x14ac:dyDescent="0.15">
      <c r="A28" s="138"/>
      <c r="B28" s="116"/>
      <c r="C28" s="116"/>
      <c r="D28" s="116"/>
      <c r="E28" s="67"/>
      <c r="F28" s="67"/>
      <c r="G28" s="67"/>
      <c r="H28" s="67"/>
      <c r="I28" s="67"/>
      <c r="J28" s="67"/>
      <c r="K28" s="67"/>
      <c r="L28" s="84"/>
      <c r="M28" s="34"/>
      <c r="N28" s="34"/>
      <c r="O28" s="38"/>
      <c r="P28" s="39"/>
      <c r="Q28" s="38"/>
      <c r="R28" s="34"/>
      <c r="S28" s="34"/>
      <c r="T28" s="34"/>
      <c r="U28" s="69"/>
      <c r="V28" s="67"/>
      <c r="W28" s="67"/>
      <c r="X28" s="67"/>
      <c r="Y28" s="67"/>
      <c r="Z28" s="67"/>
      <c r="AA28" s="67"/>
      <c r="AB28" s="67"/>
      <c r="AC28" s="116"/>
      <c r="AD28" s="116"/>
      <c r="AE28" s="116"/>
      <c r="AF28" s="139"/>
    </row>
    <row r="29" spans="1:32" ht="21.75" customHeight="1" x14ac:dyDescent="0.15">
      <c r="A29" s="138"/>
      <c r="B29" s="116"/>
      <c r="C29" s="116"/>
      <c r="D29" s="116"/>
      <c r="E29" s="71">
        <v>1</v>
      </c>
      <c r="F29" s="71">
        <v>13220</v>
      </c>
      <c r="G29" s="76"/>
      <c r="H29" s="82">
        <f>E29*F29</f>
        <v>13220</v>
      </c>
      <c r="I29" s="76"/>
      <c r="J29" s="71"/>
      <c r="K29" s="71"/>
      <c r="L29" s="78">
        <v>21</v>
      </c>
      <c r="M29" s="33"/>
      <c r="N29" s="34"/>
      <c r="O29" s="35"/>
      <c r="P29" s="36"/>
      <c r="Q29" s="35"/>
      <c r="R29" s="37"/>
      <c r="S29" s="34"/>
      <c r="T29" s="33"/>
      <c r="U29" s="77">
        <v>22</v>
      </c>
      <c r="V29" s="71"/>
      <c r="W29" s="71"/>
      <c r="X29" s="76"/>
      <c r="Y29" s="82">
        <f>AA29*AB29</f>
        <v>13220</v>
      </c>
      <c r="Z29" s="76"/>
      <c r="AA29" s="71">
        <v>13220</v>
      </c>
      <c r="AB29" s="71">
        <v>1</v>
      </c>
      <c r="AC29" s="116"/>
      <c r="AD29" s="116"/>
      <c r="AE29" s="116"/>
      <c r="AF29" s="139"/>
    </row>
    <row r="30" spans="1:32" ht="18.75" customHeight="1" x14ac:dyDescent="0.15">
      <c r="A30" s="138"/>
      <c r="B30" s="116"/>
      <c r="C30" s="116"/>
      <c r="D30" s="116"/>
      <c r="E30" s="67"/>
      <c r="F30" s="67"/>
      <c r="G30" s="67"/>
      <c r="H30" s="67"/>
      <c r="I30" s="67"/>
      <c r="J30" s="67"/>
      <c r="K30" s="67"/>
      <c r="L30" s="84"/>
      <c r="M30" s="34"/>
      <c r="N30" s="34"/>
      <c r="O30" s="38"/>
      <c r="P30" s="39"/>
      <c r="Q30" s="38"/>
      <c r="R30" s="34"/>
      <c r="S30" s="34"/>
      <c r="T30" s="34"/>
      <c r="U30" s="69"/>
      <c r="V30" s="67"/>
      <c r="W30" s="67"/>
      <c r="X30" s="67"/>
      <c r="Y30" s="67"/>
      <c r="Z30" s="67"/>
      <c r="AA30" s="67"/>
      <c r="AB30" s="67"/>
      <c r="AC30" s="116"/>
      <c r="AD30" s="116"/>
      <c r="AE30" s="116"/>
      <c r="AF30" s="139"/>
    </row>
    <row r="31" spans="1:32" ht="21.75" customHeight="1" x14ac:dyDescent="0.15">
      <c r="A31" s="138"/>
      <c r="B31" s="116"/>
      <c r="C31" s="116"/>
      <c r="D31" s="116"/>
      <c r="E31" s="71">
        <v>1</v>
      </c>
      <c r="F31" s="71">
        <v>13210</v>
      </c>
      <c r="G31" s="76"/>
      <c r="H31" s="76"/>
      <c r="I31" s="81">
        <f>E31*F31</f>
        <v>13210</v>
      </c>
      <c r="J31" s="71"/>
      <c r="K31" s="71"/>
      <c r="L31" s="78">
        <v>23</v>
      </c>
      <c r="M31" s="33"/>
      <c r="N31" s="34"/>
      <c r="O31" s="35"/>
      <c r="P31" s="36"/>
      <c r="Q31" s="35"/>
      <c r="R31" s="33"/>
      <c r="S31" s="34"/>
      <c r="T31" s="33"/>
      <c r="U31" s="77">
        <v>24</v>
      </c>
      <c r="V31" s="71"/>
      <c r="W31" s="71"/>
      <c r="X31" s="76"/>
      <c r="Y31" s="76"/>
      <c r="Z31" s="81">
        <f>AA31*AB31</f>
        <v>13210</v>
      </c>
      <c r="AA31" s="71">
        <v>13210</v>
      </c>
      <c r="AB31" s="71">
        <v>1</v>
      </c>
      <c r="AC31" s="116"/>
      <c r="AD31" s="116"/>
      <c r="AE31" s="116"/>
      <c r="AF31" s="139"/>
    </row>
    <row r="32" spans="1:32" ht="18.75" customHeight="1" x14ac:dyDescent="0.15">
      <c r="A32" s="70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9"/>
      <c r="M32" s="34"/>
      <c r="N32" s="34"/>
      <c r="O32" s="38"/>
      <c r="P32" s="39"/>
      <c r="Q32" s="38"/>
      <c r="R32" s="34"/>
      <c r="S32" s="34"/>
      <c r="T32" s="34"/>
      <c r="U32" s="70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9"/>
    </row>
    <row r="33" spans="1:32" ht="21.75" customHeight="1" x14ac:dyDescent="0.15">
      <c r="A33" s="73">
        <v>60</v>
      </c>
      <c r="B33" s="74" t="s">
        <v>107</v>
      </c>
      <c r="C33" s="75">
        <v>3</v>
      </c>
      <c r="D33" s="75" t="s">
        <v>122</v>
      </c>
      <c r="E33" s="75">
        <v>1</v>
      </c>
      <c r="F33" s="75">
        <v>7905</v>
      </c>
      <c r="G33" s="121">
        <f>E33*F33</f>
        <v>7905</v>
      </c>
      <c r="H33" s="80"/>
      <c r="I33" s="80"/>
      <c r="J33" s="75" t="s">
        <v>121</v>
      </c>
      <c r="K33" s="75">
        <v>10</v>
      </c>
      <c r="L33" s="123">
        <v>25</v>
      </c>
      <c r="M33" s="33"/>
      <c r="N33" s="34"/>
      <c r="O33" s="35"/>
      <c r="P33" s="36"/>
      <c r="Q33" s="35"/>
      <c r="R33" s="37"/>
      <c r="S33" s="34"/>
      <c r="T33" s="33"/>
      <c r="U33" s="122">
        <v>26</v>
      </c>
      <c r="V33" s="75"/>
      <c r="W33" s="75"/>
      <c r="X33" s="121">
        <f>AA33*AB33</f>
        <v>0</v>
      </c>
      <c r="Y33" s="80"/>
      <c r="Z33" s="80"/>
      <c r="AA33" s="75"/>
      <c r="AB33" s="75"/>
      <c r="AC33" s="75"/>
      <c r="AD33" s="75"/>
      <c r="AE33" s="74" t="s">
        <v>64</v>
      </c>
      <c r="AF33" s="83"/>
    </row>
    <row r="34" spans="1:32" ht="18.75" customHeight="1" x14ac:dyDescent="0.15">
      <c r="A34" s="138"/>
      <c r="B34" s="116"/>
      <c r="C34" s="116"/>
      <c r="D34" s="116"/>
      <c r="E34" s="67"/>
      <c r="F34" s="67"/>
      <c r="G34" s="67"/>
      <c r="H34" s="67"/>
      <c r="I34" s="67"/>
      <c r="J34" s="67"/>
      <c r="K34" s="67"/>
      <c r="L34" s="84"/>
      <c r="M34" s="34"/>
      <c r="N34" s="34"/>
      <c r="O34" s="38"/>
      <c r="P34" s="39"/>
      <c r="Q34" s="38"/>
      <c r="R34" s="34"/>
      <c r="S34" s="34"/>
      <c r="T34" s="34"/>
      <c r="U34" s="69"/>
      <c r="V34" s="67"/>
      <c r="W34" s="67"/>
      <c r="X34" s="67"/>
      <c r="Y34" s="67"/>
      <c r="Z34" s="67"/>
      <c r="AA34" s="67"/>
      <c r="AB34" s="67"/>
      <c r="AC34" s="116"/>
      <c r="AD34" s="116"/>
      <c r="AE34" s="116"/>
      <c r="AF34" s="139"/>
    </row>
    <row r="35" spans="1:32" ht="21.75" customHeight="1" x14ac:dyDescent="0.15">
      <c r="A35" s="138"/>
      <c r="B35" s="116"/>
      <c r="C35" s="116"/>
      <c r="D35" s="116"/>
      <c r="E35" s="71">
        <v>1</v>
      </c>
      <c r="F35" s="71">
        <v>7825</v>
      </c>
      <c r="G35" s="76"/>
      <c r="H35" s="82">
        <f>E35*F35</f>
        <v>7825</v>
      </c>
      <c r="I35" s="76"/>
      <c r="J35" s="71"/>
      <c r="K35" s="71"/>
      <c r="L35" s="78">
        <v>27</v>
      </c>
      <c r="M35" s="33"/>
      <c r="N35" s="34"/>
      <c r="O35" s="35"/>
      <c r="P35" s="36"/>
      <c r="Q35" s="35"/>
      <c r="R35" s="37"/>
      <c r="S35" s="34"/>
      <c r="T35" s="33"/>
      <c r="U35" s="77">
        <v>28</v>
      </c>
      <c r="V35" s="71"/>
      <c r="W35" s="71"/>
      <c r="X35" s="76"/>
      <c r="Y35" s="82">
        <f>AA35*AB35</f>
        <v>0</v>
      </c>
      <c r="Z35" s="76"/>
      <c r="AA35" s="71"/>
      <c r="AB35" s="71"/>
      <c r="AC35" s="116"/>
      <c r="AD35" s="116"/>
      <c r="AE35" s="116"/>
      <c r="AF35" s="139"/>
    </row>
    <row r="36" spans="1:32" ht="18.75" customHeight="1" x14ac:dyDescent="0.15">
      <c r="A36" s="138"/>
      <c r="B36" s="116"/>
      <c r="C36" s="116"/>
      <c r="D36" s="116"/>
      <c r="E36" s="67"/>
      <c r="F36" s="67"/>
      <c r="G36" s="67"/>
      <c r="H36" s="67"/>
      <c r="I36" s="67"/>
      <c r="J36" s="67"/>
      <c r="K36" s="67"/>
      <c r="L36" s="84"/>
      <c r="M36" s="34"/>
      <c r="N36" s="34"/>
      <c r="O36" s="38"/>
      <c r="P36" s="39"/>
      <c r="Q36" s="38"/>
      <c r="R36" s="34"/>
      <c r="S36" s="34"/>
      <c r="T36" s="34"/>
      <c r="U36" s="69"/>
      <c r="V36" s="67"/>
      <c r="W36" s="67"/>
      <c r="X36" s="67"/>
      <c r="Y36" s="67"/>
      <c r="Z36" s="67"/>
      <c r="AA36" s="67"/>
      <c r="AB36" s="67"/>
      <c r="AC36" s="116"/>
      <c r="AD36" s="116"/>
      <c r="AE36" s="116"/>
      <c r="AF36" s="139"/>
    </row>
    <row r="37" spans="1:32" ht="21.75" customHeight="1" x14ac:dyDescent="0.15">
      <c r="A37" s="138"/>
      <c r="B37" s="116"/>
      <c r="C37" s="116"/>
      <c r="D37" s="116"/>
      <c r="E37" s="71">
        <v>1</v>
      </c>
      <c r="F37" s="71">
        <v>7500</v>
      </c>
      <c r="G37" s="76"/>
      <c r="H37" s="76"/>
      <c r="I37" s="81">
        <f>E37*F37</f>
        <v>7500</v>
      </c>
      <c r="J37" s="71"/>
      <c r="K37" s="71"/>
      <c r="L37" s="78">
        <v>29</v>
      </c>
      <c r="M37" s="33"/>
      <c r="N37" s="34"/>
      <c r="O37" s="35"/>
      <c r="P37" s="36"/>
      <c r="Q37" s="35"/>
      <c r="R37" s="33"/>
      <c r="S37" s="34"/>
      <c r="T37" s="33"/>
      <c r="U37" s="77">
        <v>30</v>
      </c>
      <c r="V37" s="71"/>
      <c r="W37" s="71"/>
      <c r="X37" s="76"/>
      <c r="Y37" s="76"/>
      <c r="Z37" s="81">
        <f>AA37*AB37</f>
        <v>0</v>
      </c>
      <c r="AA37" s="71"/>
      <c r="AB37" s="71"/>
      <c r="AC37" s="116"/>
      <c r="AD37" s="116"/>
      <c r="AE37" s="116"/>
      <c r="AF37" s="139"/>
    </row>
    <row r="38" spans="1:32" ht="18.75" customHeight="1" x14ac:dyDescent="0.15">
      <c r="A38" s="70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9"/>
      <c r="M38" s="34"/>
      <c r="N38" s="34"/>
      <c r="O38" s="38"/>
      <c r="P38" s="39"/>
      <c r="Q38" s="38"/>
      <c r="R38" s="34"/>
      <c r="S38" s="34"/>
      <c r="T38" s="34"/>
      <c r="U38" s="70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9"/>
    </row>
    <row r="39" spans="1:32" ht="21.75" customHeight="1" x14ac:dyDescent="0.15">
      <c r="A39" s="73"/>
      <c r="B39" s="74" t="s">
        <v>64</v>
      </c>
      <c r="C39" s="75"/>
      <c r="D39" s="75"/>
      <c r="E39" s="75"/>
      <c r="F39" s="75"/>
      <c r="G39" s="121">
        <f>E39*F39</f>
        <v>0</v>
      </c>
      <c r="H39" s="80"/>
      <c r="I39" s="80"/>
      <c r="J39" s="75"/>
      <c r="K39" s="75"/>
      <c r="L39" s="123">
        <v>31</v>
      </c>
      <c r="M39" s="33"/>
      <c r="N39" s="34"/>
      <c r="O39" s="35"/>
      <c r="P39" s="36"/>
      <c r="Q39" s="35"/>
      <c r="R39" s="37"/>
      <c r="S39" s="34"/>
      <c r="T39" s="33"/>
      <c r="U39" s="122">
        <v>32</v>
      </c>
      <c r="V39" s="75"/>
      <c r="W39" s="75"/>
      <c r="X39" s="121">
        <f>AA39*AB39</f>
        <v>0</v>
      </c>
      <c r="Y39" s="80"/>
      <c r="Z39" s="80"/>
      <c r="AA39" s="75"/>
      <c r="AB39" s="75"/>
      <c r="AC39" s="75"/>
      <c r="AD39" s="75"/>
      <c r="AE39" s="74" t="s">
        <v>64</v>
      </c>
      <c r="AF39" s="83"/>
    </row>
    <row r="40" spans="1:32" ht="18.75" customHeight="1" x14ac:dyDescent="0.15">
      <c r="A40" s="138"/>
      <c r="B40" s="116"/>
      <c r="C40" s="116"/>
      <c r="D40" s="116"/>
      <c r="E40" s="67"/>
      <c r="F40" s="67"/>
      <c r="G40" s="67"/>
      <c r="H40" s="67"/>
      <c r="I40" s="67"/>
      <c r="J40" s="67"/>
      <c r="K40" s="67"/>
      <c r="L40" s="84"/>
      <c r="M40" s="34"/>
      <c r="N40" s="34"/>
      <c r="O40" s="38"/>
      <c r="P40" s="39"/>
      <c r="Q40" s="38"/>
      <c r="R40" s="34"/>
      <c r="S40" s="34"/>
      <c r="T40" s="34"/>
      <c r="U40" s="69"/>
      <c r="V40" s="67"/>
      <c r="W40" s="67"/>
      <c r="X40" s="67"/>
      <c r="Y40" s="67"/>
      <c r="Z40" s="67"/>
      <c r="AA40" s="67"/>
      <c r="AB40" s="67"/>
      <c r="AC40" s="116"/>
      <c r="AD40" s="116"/>
      <c r="AE40" s="116"/>
      <c r="AF40" s="139"/>
    </row>
    <row r="41" spans="1:32" ht="21.75" customHeight="1" x14ac:dyDescent="0.15">
      <c r="A41" s="138"/>
      <c r="B41" s="116"/>
      <c r="C41" s="116"/>
      <c r="D41" s="116"/>
      <c r="E41" s="71"/>
      <c r="F41" s="71"/>
      <c r="G41" s="76"/>
      <c r="H41" s="82">
        <f>E41*F41</f>
        <v>0</v>
      </c>
      <c r="I41" s="76"/>
      <c r="J41" s="71"/>
      <c r="K41" s="71"/>
      <c r="L41" s="78">
        <v>33</v>
      </c>
      <c r="M41" s="33"/>
      <c r="N41" s="34"/>
      <c r="O41" s="35"/>
      <c r="P41" s="36"/>
      <c r="Q41" s="35"/>
      <c r="R41" s="37"/>
      <c r="S41" s="34"/>
      <c r="T41" s="33"/>
      <c r="U41" s="77">
        <v>34</v>
      </c>
      <c r="V41" s="71"/>
      <c r="W41" s="71"/>
      <c r="X41" s="76"/>
      <c r="Y41" s="82">
        <f>AA41*AB41</f>
        <v>0</v>
      </c>
      <c r="Z41" s="76"/>
      <c r="AA41" s="71"/>
      <c r="AB41" s="71"/>
      <c r="AC41" s="116"/>
      <c r="AD41" s="116"/>
      <c r="AE41" s="116"/>
      <c r="AF41" s="139"/>
    </row>
    <row r="42" spans="1:32" ht="18.75" customHeight="1" x14ac:dyDescent="0.15">
      <c r="A42" s="138"/>
      <c r="B42" s="116"/>
      <c r="C42" s="116"/>
      <c r="D42" s="116"/>
      <c r="E42" s="67"/>
      <c r="F42" s="67"/>
      <c r="G42" s="67"/>
      <c r="H42" s="67"/>
      <c r="I42" s="67"/>
      <c r="J42" s="67"/>
      <c r="K42" s="67"/>
      <c r="L42" s="84"/>
      <c r="M42" s="34"/>
      <c r="N42" s="34"/>
      <c r="O42" s="38"/>
      <c r="P42" s="39"/>
      <c r="Q42" s="38"/>
      <c r="R42" s="34"/>
      <c r="S42" s="34"/>
      <c r="T42" s="34"/>
      <c r="U42" s="69"/>
      <c r="V42" s="67"/>
      <c r="W42" s="67"/>
      <c r="X42" s="67"/>
      <c r="Y42" s="67"/>
      <c r="Z42" s="67"/>
      <c r="AA42" s="67"/>
      <c r="AB42" s="67"/>
      <c r="AC42" s="116"/>
      <c r="AD42" s="116"/>
      <c r="AE42" s="116"/>
      <c r="AF42" s="139"/>
    </row>
    <row r="43" spans="1:32" ht="21.75" customHeight="1" x14ac:dyDescent="0.15">
      <c r="A43" s="138"/>
      <c r="B43" s="116"/>
      <c r="C43" s="116"/>
      <c r="D43" s="116"/>
      <c r="E43" s="71"/>
      <c r="F43" s="71"/>
      <c r="G43" s="76"/>
      <c r="H43" s="76"/>
      <c r="I43" s="81">
        <f>E43*F43</f>
        <v>0</v>
      </c>
      <c r="J43" s="71"/>
      <c r="K43" s="71"/>
      <c r="L43" s="78">
        <v>35</v>
      </c>
      <c r="M43" s="33"/>
      <c r="N43" s="34"/>
      <c r="O43" s="35"/>
      <c r="P43" s="36"/>
      <c r="Q43" s="35"/>
      <c r="R43" s="33"/>
      <c r="S43" s="34"/>
      <c r="T43" s="33"/>
      <c r="U43" s="77">
        <v>36</v>
      </c>
      <c r="V43" s="71"/>
      <c r="W43" s="71"/>
      <c r="X43" s="76"/>
      <c r="Y43" s="76"/>
      <c r="Z43" s="81">
        <f>AA43*AB43</f>
        <v>0</v>
      </c>
      <c r="AA43" s="71"/>
      <c r="AB43" s="71"/>
      <c r="AC43" s="116"/>
      <c r="AD43" s="116"/>
      <c r="AE43" s="116"/>
      <c r="AF43" s="139"/>
    </row>
    <row r="44" spans="1:32" ht="18.75" customHeight="1" x14ac:dyDescent="0.15">
      <c r="A44" s="70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9"/>
      <c r="M44" s="34"/>
      <c r="N44" s="34"/>
      <c r="O44" s="38"/>
      <c r="P44" s="39"/>
      <c r="Q44" s="38"/>
      <c r="R44" s="34"/>
      <c r="S44" s="34"/>
      <c r="T44" s="34"/>
      <c r="U44" s="70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9"/>
    </row>
    <row r="45" spans="1:32" ht="20.25" customHeight="1" x14ac:dyDescent="0.15">
      <c r="A45" s="40"/>
      <c r="B45" s="1"/>
      <c r="C45" s="34"/>
      <c r="D45" s="34"/>
      <c r="E45" s="34"/>
      <c r="F45" s="34"/>
      <c r="G45" s="92">
        <f t="shared" ref="G45:I45" si="0">SUM(G9:G43)</f>
        <v>40295</v>
      </c>
      <c r="H45" s="94">
        <f t="shared" si="0"/>
        <v>38010</v>
      </c>
      <c r="I45" s="96">
        <f t="shared" si="0"/>
        <v>38520</v>
      </c>
      <c r="J45" s="97"/>
      <c r="K45" s="88" t="s">
        <v>65</v>
      </c>
      <c r="L45" s="89"/>
      <c r="M45" s="88"/>
      <c r="N45" s="102"/>
      <c r="O45" s="102"/>
      <c r="P45" s="102"/>
      <c r="Q45" s="102"/>
      <c r="R45" s="102"/>
      <c r="S45" s="102"/>
      <c r="T45" s="89"/>
      <c r="U45" s="88" t="s">
        <v>65</v>
      </c>
      <c r="V45" s="89"/>
      <c r="W45" s="97"/>
      <c r="X45" s="92">
        <f t="shared" ref="X45:Z45" si="1">SUM(X9:X43)</f>
        <v>28890</v>
      </c>
      <c r="Y45" s="94">
        <f t="shared" si="1"/>
        <v>30310</v>
      </c>
      <c r="Z45" s="96">
        <f t="shared" si="1"/>
        <v>31020</v>
      </c>
      <c r="AA45" s="34"/>
      <c r="AB45" s="34"/>
      <c r="AC45" s="34"/>
      <c r="AD45" s="34"/>
      <c r="AE45" s="1"/>
      <c r="AF45" s="41"/>
    </row>
    <row r="46" spans="1:32" ht="20.25" customHeight="1" x14ac:dyDescent="0.15">
      <c r="A46" s="40"/>
      <c r="B46" s="1"/>
      <c r="C46" s="34"/>
      <c r="D46" s="34"/>
      <c r="E46" s="34"/>
      <c r="F46" s="34"/>
      <c r="G46" s="93"/>
      <c r="H46" s="95"/>
      <c r="I46" s="93"/>
      <c r="J46" s="98"/>
      <c r="K46" s="90"/>
      <c r="L46" s="91"/>
      <c r="M46" s="125" t="s">
        <v>31</v>
      </c>
      <c r="N46" s="98"/>
      <c r="O46" s="98"/>
      <c r="P46" s="42"/>
      <c r="Q46" s="42"/>
      <c r="R46" s="124" t="s">
        <v>66</v>
      </c>
      <c r="S46" s="98"/>
      <c r="T46" s="42"/>
      <c r="U46" s="90"/>
      <c r="V46" s="91"/>
      <c r="W46" s="98"/>
      <c r="X46" s="93"/>
      <c r="Y46" s="95"/>
      <c r="Z46" s="93"/>
      <c r="AA46" s="34"/>
      <c r="AB46" s="34"/>
      <c r="AC46" s="34"/>
      <c r="AD46" s="34"/>
      <c r="AE46" s="1"/>
      <c r="AF46" s="41"/>
    </row>
    <row r="47" spans="1:32" ht="36.75" customHeight="1" x14ac:dyDescent="0.15">
      <c r="A47" s="40"/>
      <c r="B47" s="1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1"/>
      <c r="AF47" s="41"/>
    </row>
    <row r="48" spans="1:32" ht="31.5" customHeight="1" x14ac:dyDescent="0.25">
      <c r="A48" s="4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43"/>
      <c r="AA48" s="43"/>
      <c r="AB48" s="43" t="s">
        <v>67</v>
      </c>
      <c r="AC48" s="43"/>
      <c r="AD48" s="43"/>
      <c r="AE48" s="44">
        <v>60</v>
      </c>
      <c r="AF48" s="45" t="s">
        <v>68</v>
      </c>
    </row>
    <row r="49" spans="1:32" ht="36.75" customHeight="1" x14ac:dyDescent="0.25">
      <c r="A49" s="48" t="s">
        <v>69</v>
      </c>
      <c r="B49" s="46">
        <f>G45+X45</f>
        <v>69185</v>
      </c>
      <c r="C49" s="11" t="s">
        <v>70</v>
      </c>
      <c r="D49" s="1"/>
      <c r="E49" s="1"/>
      <c r="F49" s="1"/>
      <c r="G49" s="86" t="s">
        <v>71</v>
      </c>
      <c r="H49" s="87"/>
      <c r="I49" s="43" t="s">
        <v>123</v>
      </c>
      <c r="J49" s="43"/>
      <c r="K49" s="4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43"/>
      <c r="AA49" s="43"/>
      <c r="AB49" s="43" t="s">
        <v>73</v>
      </c>
      <c r="AC49" s="43"/>
      <c r="AD49" s="43"/>
      <c r="AE49" s="47">
        <f>(B52*AE48)/(1000*100)</f>
        <v>124.227</v>
      </c>
      <c r="AF49" s="45" t="s">
        <v>74</v>
      </c>
    </row>
    <row r="50" spans="1:32" ht="36.75" customHeight="1" x14ac:dyDescent="0.25">
      <c r="A50" s="48" t="s">
        <v>75</v>
      </c>
      <c r="B50" s="49">
        <f>H45+Y45</f>
        <v>68320</v>
      </c>
      <c r="C50" s="11" t="s">
        <v>70</v>
      </c>
      <c r="D50" s="1"/>
      <c r="E50" s="1"/>
      <c r="F50" s="1"/>
      <c r="G50" s="86" t="s">
        <v>76</v>
      </c>
      <c r="H50" s="87"/>
      <c r="I50" s="43" t="s">
        <v>77</v>
      </c>
      <c r="J50" s="43"/>
      <c r="K50" s="4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43"/>
      <c r="AA50" s="43"/>
      <c r="AB50" s="43" t="s">
        <v>78</v>
      </c>
      <c r="AC50" s="43"/>
      <c r="AD50" s="43"/>
      <c r="AE50" s="47">
        <f>AE49*0.2</f>
        <v>24.845400000000001</v>
      </c>
      <c r="AF50" s="45" t="s">
        <v>74</v>
      </c>
    </row>
    <row r="51" spans="1:32" ht="36.75" customHeight="1" x14ac:dyDescent="0.25">
      <c r="A51" s="48" t="s">
        <v>79</v>
      </c>
      <c r="B51" s="50">
        <f>I45+Z45</f>
        <v>69540</v>
      </c>
      <c r="C51" s="11" t="s">
        <v>70</v>
      </c>
      <c r="D51" s="1"/>
      <c r="E51" s="1"/>
      <c r="F51" s="1"/>
      <c r="G51" s="86" t="s">
        <v>80</v>
      </c>
      <c r="H51" s="87"/>
      <c r="I51" s="43" t="s">
        <v>124</v>
      </c>
      <c r="J51" s="43"/>
      <c r="K51" s="4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43"/>
      <c r="AA51" s="43"/>
      <c r="AB51" s="43" t="s">
        <v>82</v>
      </c>
      <c r="AC51" s="43"/>
      <c r="AD51" s="43"/>
      <c r="AE51" s="47">
        <f>AE49+AE50</f>
        <v>149.07240000000002</v>
      </c>
      <c r="AF51" s="45" t="s">
        <v>74</v>
      </c>
    </row>
    <row r="52" spans="1:32" ht="36.75" customHeight="1" x14ac:dyDescent="0.3">
      <c r="A52" s="48" t="s">
        <v>65</v>
      </c>
      <c r="B52" s="51">
        <f>B49+B50+B51</f>
        <v>207045</v>
      </c>
      <c r="C52" s="11" t="s">
        <v>70</v>
      </c>
      <c r="D52" s="1"/>
      <c r="E52" s="1"/>
      <c r="F52" s="1"/>
      <c r="G52" s="86" t="s">
        <v>83</v>
      </c>
      <c r="H52" s="87"/>
      <c r="I52" s="43" t="s">
        <v>125</v>
      </c>
      <c r="J52" s="43"/>
      <c r="K52" s="4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43"/>
      <c r="AA52" s="43"/>
      <c r="AB52" s="52" t="s">
        <v>85</v>
      </c>
      <c r="AC52" s="43"/>
      <c r="AD52" s="43"/>
      <c r="AE52" s="53">
        <f>AE51*1000/(380*1.73)</f>
        <v>226.76057195010651</v>
      </c>
      <c r="AF52" s="45" t="s">
        <v>86</v>
      </c>
    </row>
    <row r="53" spans="1:32" ht="24.75" customHeight="1" x14ac:dyDescent="0.15">
      <c r="A53" s="17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1"/>
    </row>
    <row r="54" spans="1:32" ht="36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30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30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30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4.2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30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30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30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30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4.2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4.2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4.2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4.2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4.2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4.2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4.2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4.2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4.2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4.2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4.2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4.2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4.2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4.2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4.2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4.2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4.2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4.2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4.2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4.2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4.2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4.2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4.2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4.2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4.2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4.2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4.2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4.2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4.2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4.2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4.2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4.2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4.2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4.2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4.2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4.2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4.2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4.2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</sheetData>
  <mergeCells count="375">
    <mergeCell ref="E13:E14"/>
    <mergeCell ref="E15:E16"/>
    <mergeCell ref="F15:F16"/>
    <mergeCell ref="G15:G16"/>
    <mergeCell ref="F13:F14"/>
    <mergeCell ref="G13:G14"/>
    <mergeCell ref="H13:H14"/>
    <mergeCell ref="I13:I14"/>
    <mergeCell ref="J13:J14"/>
    <mergeCell ref="J15:J16"/>
    <mergeCell ref="F29:F30"/>
    <mergeCell ref="G29:G30"/>
    <mergeCell ref="H29:H30"/>
    <mergeCell ref="I29:I30"/>
    <mergeCell ref="J29:J30"/>
    <mergeCell ref="J21:J22"/>
    <mergeCell ref="G17:G18"/>
    <mergeCell ref="H17:H18"/>
    <mergeCell ref="I17:I18"/>
    <mergeCell ref="J17:J18"/>
    <mergeCell ref="H15:H16"/>
    <mergeCell ref="I15:I16"/>
    <mergeCell ref="L21:L22"/>
    <mergeCell ref="F23:F24"/>
    <mergeCell ref="G23:G24"/>
    <mergeCell ref="H23:H24"/>
    <mergeCell ref="I23:I24"/>
    <mergeCell ref="J23:J24"/>
    <mergeCell ref="K23:K24"/>
    <mergeCell ref="L23:L24"/>
    <mergeCell ref="K29:K30"/>
    <mergeCell ref="L29:L30"/>
    <mergeCell ref="F27:F28"/>
    <mergeCell ref="G27:G28"/>
    <mergeCell ref="H27:H28"/>
    <mergeCell ref="I27:I28"/>
    <mergeCell ref="J27:J28"/>
    <mergeCell ref="G11:G12"/>
    <mergeCell ref="H11:H12"/>
    <mergeCell ref="I11:I12"/>
    <mergeCell ref="J11:J12"/>
    <mergeCell ref="K11:K12"/>
    <mergeCell ref="L11:L12"/>
    <mergeCell ref="E17:E18"/>
    <mergeCell ref="F17:F18"/>
    <mergeCell ref="J31:J32"/>
    <mergeCell ref="K31:K32"/>
    <mergeCell ref="F19:F20"/>
    <mergeCell ref="G19:G20"/>
    <mergeCell ref="H19:H20"/>
    <mergeCell ref="I19:I20"/>
    <mergeCell ref="J19:J20"/>
    <mergeCell ref="K19:K20"/>
    <mergeCell ref="L19:L20"/>
    <mergeCell ref="K27:K28"/>
    <mergeCell ref="L27:L28"/>
    <mergeCell ref="F21:F22"/>
    <mergeCell ref="G21:G22"/>
    <mergeCell ref="H21:H22"/>
    <mergeCell ref="I21:I22"/>
    <mergeCell ref="K21:K22"/>
    <mergeCell ref="C21:C26"/>
    <mergeCell ref="D21:D26"/>
    <mergeCell ref="B15:B20"/>
    <mergeCell ref="C15:C20"/>
    <mergeCell ref="E23:E24"/>
    <mergeCell ref="A21:A26"/>
    <mergeCell ref="A27:A32"/>
    <mergeCell ref="B21:B26"/>
    <mergeCell ref="B27:B32"/>
    <mergeCell ref="C27:C32"/>
    <mergeCell ref="D27:D32"/>
    <mergeCell ref="A15:A20"/>
    <mergeCell ref="D15:D20"/>
    <mergeCell ref="E29:E30"/>
    <mergeCell ref="E27:E28"/>
    <mergeCell ref="E19:E20"/>
    <mergeCell ref="E21:E22"/>
    <mergeCell ref="L41:L42"/>
    <mergeCell ref="F41:F42"/>
    <mergeCell ref="G41:G42"/>
    <mergeCell ref="H41:H42"/>
    <mergeCell ref="I41:I42"/>
    <mergeCell ref="J41:J42"/>
    <mergeCell ref="C39:C44"/>
    <mergeCell ref="D39:D44"/>
    <mergeCell ref="E41:E42"/>
    <mergeCell ref="E39:E40"/>
    <mergeCell ref="F39:F40"/>
    <mergeCell ref="G39:G40"/>
    <mergeCell ref="H39:H40"/>
    <mergeCell ref="I39:I40"/>
    <mergeCell ref="J39:J40"/>
    <mergeCell ref="Y35:Y36"/>
    <mergeCell ref="H33:H34"/>
    <mergeCell ref="I33:I34"/>
    <mergeCell ref="J33:J34"/>
    <mergeCell ref="K33:K34"/>
    <mergeCell ref="J25:J26"/>
    <mergeCell ref="K25:K26"/>
    <mergeCell ref="H35:H36"/>
    <mergeCell ref="I35:I36"/>
    <mergeCell ref="J35:J36"/>
    <mergeCell ref="K35:K36"/>
    <mergeCell ref="E25:E26"/>
    <mergeCell ref="F25:F26"/>
    <mergeCell ref="G25:G26"/>
    <mergeCell ref="H25:H26"/>
    <mergeCell ref="I25:I26"/>
    <mergeCell ref="L25:L26"/>
    <mergeCell ref="AA41:AA42"/>
    <mergeCell ref="K39:K40"/>
    <mergeCell ref="L39:L40"/>
    <mergeCell ref="E33:E34"/>
    <mergeCell ref="J37:J38"/>
    <mergeCell ref="K37:K38"/>
    <mergeCell ref="H37:H38"/>
    <mergeCell ref="I37:I38"/>
    <mergeCell ref="L37:L38"/>
    <mergeCell ref="L31:L32"/>
    <mergeCell ref="W29:W30"/>
    <mergeCell ref="AA37:AA38"/>
    <mergeCell ref="U37:U38"/>
    <mergeCell ref="V37:V38"/>
    <mergeCell ref="U39:U40"/>
    <mergeCell ref="W35:W36"/>
    <mergeCell ref="L35:L36"/>
    <mergeCell ref="L33:L34"/>
    <mergeCell ref="AA27:AA28"/>
    <mergeCell ref="U41:U42"/>
    <mergeCell ref="V41:V42"/>
    <mergeCell ref="U27:U28"/>
    <mergeCell ref="U45:V46"/>
    <mergeCell ref="V39:V40"/>
    <mergeCell ref="Z41:Z42"/>
    <mergeCell ref="Z39:Z40"/>
    <mergeCell ref="AA39:AA40"/>
    <mergeCell ref="W39:W40"/>
    <mergeCell ref="AA33:AA34"/>
    <mergeCell ref="AA31:AA32"/>
    <mergeCell ref="V27:V28"/>
    <mergeCell ref="W27:W28"/>
    <mergeCell ref="W37:W38"/>
    <mergeCell ref="X37:X38"/>
    <mergeCell ref="X29:X30"/>
    <mergeCell ref="Y29:Y30"/>
    <mergeCell ref="U31:U32"/>
    <mergeCell ref="AA29:AA30"/>
    <mergeCell ref="U29:U30"/>
    <mergeCell ref="V29:V30"/>
    <mergeCell ref="X45:X46"/>
    <mergeCell ref="Y45:Y46"/>
    <mergeCell ref="Y37:Y38"/>
    <mergeCell ref="Z37:Z38"/>
    <mergeCell ref="V31:V32"/>
    <mergeCell ref="W31:W32"/>
    <mergeCell ref="Z31:Z32"/>
    <mergeCell ref="C33:C38"/>
    <mergeCell ref="A33:A38"/>
    <mergeCell ref="A39:A44"/>
    <mergeCell ref="B39:B44"/>
    <mergeCell ref="B33:B38"/>
    <mergeCell ref="D33:D38"/>
    <mergeCell ref="G35:G36"/>
    <mergeCell ref="F33:F34"/>
    <mergeCell ref="G33:G34"/>
    <mergeCell ref="E37:E38"/>
    <mergeCell ref="F37:F38"/>
    <mergeCell ref="G37:G38"/>
    <mergeCell ref="E35:E36"/>
    <mergeCell ref="F35:F36"/>
    <mergeCell ref="Y39:Y40"/>
    <mergeCell ref="Y41:Y42"/>
    <mergeCell ref="X39:X40"/>
    <mergeCell ref="X41:X42"/>
    <mergeCell ref="X35:X36"/>
    <mergeCell ref="V25:V26"/>
    <mergeCell ref="W25:W26"/>
    <mergeCell ref="Z25:Z26"/>
    <mergeCell ref="X27:X28"/>
    <mergeCell ref="V33:V34"/>
    <mergeCell ref="W33:W34"/>
    <mergeCell ref="U33:U34"/>
    <mergeCell ref="X33:X34"/>
    <mergeCell ref="Y33:Y34"/>
    <mergeCell ref="Z33:Z34"/>
    <mergeCell ref="X25:X26"/>
    <mergeCell ref="Y25:Y26"/>
    <mergeCell ref="Y27:Y28"/>
    <mergeCell ref="AC21:AC26"/>
    <mergeCell ref="AD21:AD26"/>
    <mergeCell ref="AB25:AB26"/>
    <mergeCell ref="AB27:AB28"/>
    <mergeCell ref="AF27:AF32"/>
    <mergeCell ref="AF21:AF26"/>
    <mergeCell ref="AC27:AC32"/>
    <mergeCell ref="AD27:AD32"/>
    <mergeCell ref="AE27:AE32"/>
    <mergeCell ref="AE21:AE26"/>
    <mergeCell ref="AB31:AB32"/>
    <mergeCell ref="AB29:AB30"/>
    <mergeCell ref="AE33:AE38"/>
    <mergeCell ref="AF33:AF38"/>
    <mergeCell ref="AB33:AB34"/>
    <mergeCell ref="AC33:AC38"/>
    <mergeCell ref="AF39:AF44"/>
    <mergeCell ref="AE39:AE44"/>
    <mergeCell ref="AD39:AD44"/>
    <mergeCell ref="AC39:AC44"/>
    <mergeCell ref="AD33:AD38"/>
    <mergeCell ref="AB37:AB38"/>
    <mergeCell ref="AB43:AB44"/>
    <mergeCell ref="AB41:AB42"/>
    <mergeCell ref="AB39:AB40"/>
    <mergeCell ref="AC7:AD7"/>
    <mergeCell ref="AF7:AF8"/>
    <mergeCell ref="K9:K10"/>
    <mergeCell ref="L9:L10"/>
    <mergeCell ref="A2:AF2"/>
    <mergeCell ref="Z3:AC3"/>
    <mergeCell ref="AD3:AE3"/>
    <mergeCell ref="J4:L4"/>
    <mergeCell ref="Z4:AC4"/>
    <mergeCell ref="J3:L3"/>
    <mergeCell ref="M3:P3"/>
    <mergeCell ref="A7:A8"/>
    <mergeCell ref="C7:D7"/>
    <mergeCell ref="A9:A14"/>
    <mergeCell ref="E7:E8"/>
    <mergeCell ref="F7:F8"/>
    <mergeCell ref="G7:I7"/>
    <mergeCell ref="J7:K7"/>
    <mergeCell ref="U9:U10"/>
    <mergeCell ref="U7:U8"/>
    <mergeCell ref="C9:C14"/>
    <mergeCell ref="D9:D14"/>
    <mergeCell ref="E9:E10"/>
    <mergeCell ref="F9:F10"/>
    <mergeCell ref="M7:T7"/>
    <mergeCell ref="V9:V10"/>
    <mergeCell ref="G9:G10"/>
    <mergeCell ref="H9:H10"/>
    <mergeCell ref="L7:L8"/>
    <mergeCell ref="V7:W7"/>
    <mergeCell ref="X7:Z7"/>
    <mergeCell ref="I9:I10"/>
    <mergeCell ref="J9:J10"/>
    <mergeCell ref="B9:B14"/>
    <mergeCell ref="U19:U20"/>
    <mergeCell ref="U17:U18"/>
    <mergeCell ref="V17:V18"/>
    <mergeCell ref="W17:W18"/>
    <mergeCell ref="X17:X18"/>
    <mergeCell ref="Y17:Y18"/>
    <mergeCell ref="V19:V20"/>
    <mergeCell ref="V15:V16"/>
    <mergeCell ref="U13:U14"/>
    <mergeCell ref="U15:U16"/>
    <mergeCell ref="V13:V14"/>
    <mergeCell ref="U11:U12"/>
    <mergeCell ref="V11:V12"/>
    <mergeCell ref="W15:W16"/>
    <mergeCell ref="X15:X16"/>
    <mergeCell ref="K13:K14"/>
    <mergeCell ref="L13:L14"/>
    <mergeCell ref="K17:K18"/>
    <mergeCell ref="L17:L18"/>
    <mergeCell ref="K15:K16"/>
    <mergeCell ref="L15:L16"/>
    <mergeCell ref="E11:E12"/>
    <mergeCell ref="F11:F12"/>
    <mergeCell ref="AE9:AE14"/>
    <mergeCell ref="AF9:AF14"/>
    <mergeCell ref="Y15:Y16"/>
    <mergeCell ref="Z15:Z16"/>
    <mergeCell ref="Y9:Y10"/>
    <mergeCell ref="W9:W10"/>
    <mergeCell ref="X9:X10"/>
    <mergeCell ref="AC9:AC14"/>
    <mergeCell ref="AD9:AD14"/>
    <mergeCell ref="AB9:AB10"/>
    <mergeCell ref="AC15:AC20"/>
    <mergeCell ref="AD15:AD20"/>
    <mergeCell ref="AE15:AE20"/>
    <mergeCell ref="AF15:AF20"/>
    <mergeCell ref="W19:W20"/>
    <mergeCell ref="X19:X20"/>
    <mergeCell ref="Y19:Y20"/>
    <mergeCell ref="Z19:Z20"/>
    <mergeCell ref="AA17:AA18"/>
    <mergeCell ref="AB17:AB18"/>
    <mergeCell ref="Z13:Z14"/>
    <mergeCell ref="G49:H49"/>
    <mergeCell ref="G50:H50"/>
    <mergeCell ref="G51:H51"/>
    <mergeCell ref="G52:H52"/>
    <mergeCell ref="J43:J44"/>
    <mergeCell ref="K43:K44"/>
    <mergeCell ref="E31:E32"/>
    <mergeCell ref="F31:F32"/>
    <mergeCell ref="G31:G32"/>
    <mergeCell ref="H31:H32"/>
    <mergeCell ref="I31:I32"/>
    <mergeCell ref="E43:E44"/>
    <mergeCell ref="F43:F44"/>
    <mergeCell ref="G43:G44"/>
    <mergeCell ref="H43:H44"/>
    <mergeCell ref="I43:I44"/>
    <mergeCell ref="G45:G46"/>
    <mergeCell ref="H45:H46"/>
    <mergeCell ref="I45:I46"/>
    <mergeCell ref="J45:J46"/>
    <mergeCell ref="K41:K42"/>
    <mergeCell ref="Z45:Z46"/>
    <mergeCell ref="M46:O46"/>
    <mergeCell ref="R46:S46"/>
    <mergeCell ref="Z43:Z44"/>
    <mergeCell ref="AA43:AA44"/>
    <mergeCell ref="V43:V44"/>
    <mergeCell ref="U43:U44"/>
    <mergeCell ref="K45:L46"/>
    <mergeCell ref="L43:L44"/>
    <mergeCell ref="X43:X44"/>
    <mergeCell ref="Y43:Y44"/>
    <mergeCell ref="W43:W44"/>
    <mergeCell ref="W45:W46"/>
    <mergeCell ref="M45:T45"/>
    <mergeCell ref="W41:W42"/>
    <mergeCell ref="AB21:AB22"/>
    <mergeCell ref="AA21:AA22"/>
    <mergeCell ref="AB15:AB16"/>
    <mergeCell ref="AA15:AA16"/>
    <mergeCell ref="AA7:AA8"/>
    <mergeCell ref="AB7:AB8"/>
    <mergeCell ref="AA25:AA26"/>
    <mergeCell ref="AA19:AA20"/>
    <mergeCell ref="AB19:AB20"/>
    <mergeCell ref="AA13:AA14"/>
    <mergeCell ref="AB13:AB14"/>
    <mergeCell ref="AA11:AA12"/>
    <mergeCell ref="AB11:AB12"/>
    <mergeCell ref="W13:W14"/>
    <mergeCell ref="W11:W12"/>
    <mergeCell ref="X13:X14"/>
    <mergeCell ref="Y13:Y14"/>
    <mergeCell ref="X11:X12"/>
    <mergeCell ref="Y11:Y12"/>
    <mergeCell ref="Z11:Z12"/>
    <mergeCell ref="Z9:Z10"/>
    <mergeCell ref="AA9:AA10"/>
    <mergeCell ref="Z17:Z18"/>
    <mergeCell ref="AA35:AA36"/>
    <mergeCell ref="AB35:AB36"/>
    <mergeCell ref="U35:U36"/>
    <mergeCell ref="V35:V36"/>
    <mergeCell ref="V23:V24"/>
    <mergeCell ref="V21:V22"/>
    <mergeCell ref="W21:W22"/>
    <mergeCell ref="X21:X22"/>
    <mergeCell ref="Y21:Y22"/>
    <mergeCell ref="Z21:Z22"/>
    <mergeCell ref="U21:U22"/>
    <mergeCell ref="AA23:AA24"/>
    <mergeCell ref="AB23:AB24"/>
    <mergeCell ref="U23:U24"/>
    <mergeCell ref="W23:W24"/>
    <mergeCell ref="X23:X24"/>
    <mergeCell ref="Y23:Y24"/>
    <mergeCell ref="Z23:Z24"/>
    <mergeCell ref="Z35:Z36"/>
    <mergeCell ref="Z29:Z30"/>
    <mergeCell ref="Z27:Z28"/>
    <mergeCell ref="X31:X32"/>
    <mergeCell ref="Y31:Y32"/>
    <mergeCell ref="U25:U26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LP1,2,3,4</vt:lpstr>
      <vt:lpstr>LPB</vt:lpstr>
      <vt:lpstr>LPG1</vt:lpstr>
      <vt:lpstr>LPG2</vt:lpstr>
      <vt:lpstr>LPG3</vt:lpstr>
      <vt:lpstr>LPR</vt:lpstr>
      <vt:lpstr>MDP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eng/doaa</dc:creator>
  <cp:lastModifiedBy>MIZO</cp:lastModifiedBy>
  <cp:lastPrinted>2008-05-22T18:11:13Z</cp:lastPrinted>
  <dcterms:created xsi:type="dcterms:W3CDTF">2007-02-03T07:57:42Z</dcterms:created>
  <dcterms:modified xsi:type="dcterms:W3CDTF">2013-02-09T23:44:30Z</dcterms:modified>
</cp:coreProperties>
</file>