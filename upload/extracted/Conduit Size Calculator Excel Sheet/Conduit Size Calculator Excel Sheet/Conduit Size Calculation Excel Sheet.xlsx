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ectrical Excel Tools (1.1.18)\"/>
    </mc:Choice>
  </mc:AlternateContent>
  <xr:revisionPtr revIDLastSave="0" documentId="13_ncr:1000001_{352ACEA3-F7F9-4343-9659-2669327CFCB7}" xr6:coauthVersionLast="47" xr6:coauthVersionMax="47" xr10:uidLastSave="{00000000-0000-0000-0000-000000000000}"/>
  <bookViews>
    <workbookView xWindow="120" yWindow="30" windowWidth="19035" windowHeight="10995" xr2:uid="{00000000-000D-0000-FFFF-FFFF00000000}"/>
  </bookViews>
  <sheets>
    <sheet name="Conduit Size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" l="1"/>
  <c r="E25" i="3"/>
  <c r="E23" i="3"/>
  <c r="G6" i="3"/>
  <c r="G7" i="3"/>
  <c r="G8" i="3"/>
  <c r="G9" i="3"/>
  <c r="G10" i="3"/>
  <c r="G11" i="3"/>
  <c r="G12" i="3"/>
  <c r="G13" i="3"/>
  <c r="G14" i="3"/>
  <c r="G15" i="3"/>
  <c r="G16" i="3"/>
  <c r="G17" i="3"/>
  <c r="G5" i="3"/>
  <c r="E18" i="3"/>
  <c r="E26" i="3"/>
  <c r="E27" i="3"/>
  <c r="E22" i="3"/>
  <c r="G18" i="3"/>
  <c r="E24" i="3"/>
  <c r="E30" i="3"/>
</calcChain>
</file>

<file path=xl/sharedStrings.xml><?xml version="1.0" encoding="utf-8"?>
<sst xmlns="http://schemas.openxmlformats.org/spreadsheetml/2006/main" count="29" uniqueCount="25">
  <si>
    <t>No</t>
  </si>
  <si>
    <t>mm</t>
  </si>
  <si>
    <t>No of Cable</t>
  </si>
  <si>
    <t>Size Of Cable (Sq.mm)</t>
  </si>
  <si>
    <t>Outer Dia of Cable (mm)</t>
  </si>
  <si>
    <t>Total Area (Sq.mm)</t>
  </si>
  <si>
    <t>Nos</t>
  </si>
  <si>
    <t>Required Size of Conduit:</t>
  </si>
  <si>
    <t>Required No of Conduit:</t>
  </si>
  <si>
    <t>Sq.mm</t>
  </si>
  <si>
    <t>% Fill Up of Conduit due to cable:</t>
  </si>
  <si>
    <t>Remarks</t>
  </si>
  <si>
    <t>Location (From-To)</t>
  </si>
  <si>
    <t>:Result:</t>
  </si>
  <si>
    <t>Sr.No</t>
  </si>
  <si>
    <t>:Calculations:</t>
  </si>
  <si>
    <t>No of Cables:</t>
  </si>
  <si>
    <t>Total Area of Cables:</t>
  </si>
  <si>
    <t>Jignesh.Parmar, www.electricalnotes.wordpress.com, jiguparmar@yahoo.com</t>
  </si>
  <si>
    <t>Select Size of Conduit (For Cable /Wires):</t>
  </si>
  <si>
    <t>Total Area of Selected Conduit:</t>
  </si>
  <si>
    <t>Fill Up  Area of Conduit :</t>
  </si>
  <si>
    <t>Calculate Conduit Size for Wires / Cables</t>
  </si>
  <si>
    <t>Maximum Cable Diameter:</t>
  </si>
  <si>
    <t>35Sq.mm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</si>
</sst>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 Narrow"/>
      <family val="2"/>
    </font>
    <font>
      <b/>
      <sz val="12"/>
      <color theme="1"/>
      <name val="Arial"/>
      <family val="2"/>
    </font>
    <font>
      <b/>
      <u/>
      <sz val="14"/>
      <color rgb="FF006600"/>
      <name val="Arial Narrow"/>
      <family val="2"/>
    </font>
    <font>
      <b/>
      <u/>
      <sz val="14"/>
      <color theme="5" tint="-0.499984740745262"/>
      <name val="Arial Narrow"/>
      <family val="2"/>
    </font>
    <font>
      <u/>
      <sz val="9.9"/>
      <color theme="10"/>
      <name val="Calibri"/>
      <family val="2"/>
    </font>
    <font>
      <b/>
      <sz val="14"/>
      <color rgb="FF002060"/>
      <name val="Arial Narrow"/>
      <family val="2"/>
    </font>
    <font>
      <sz val="14"/>
      <color theme="1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2"/>
      <color rgb="FFC00000"/>
      <name val="Arial"/>
      <family val="2"/>
    </font>
    <font>
      <b/>
      <u/>
      <sz val="18"/>
      <color rgb="FF0000FF"/>
      <name val="Arial Narrow"/>
      <family val="2"/>
    </font>
    <font>
      <b/>
      <u/>
      <sz val="9.9"/>
      <color rgb="FF0000FF"/>
      <name val="Arial Narrow"/>
      <family val="2"/>
    </font>
    <font>
      <b/>
      <sz val="14"/>
      <color rgb="FF0000FF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9" fontId="11" fillId="0" borderId="0" xfId="0" applyNumberFormat="1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2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0033CC"/>
      <color rgb="FFFFFFCC"/>
      <color rgb="FF006600"/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201085</xdr:colOff>
      <xdr:row>19</xdr:row>
      <xdr:rowOff>190502</xdr:rowOff>
    </xdr:from>
    <xdr:to>
      <xdr:col>7</xdr:col>
      <xdr:colOff>31751</xdr:colOff>
      <xdr:row>24</xdr:row>
      <xdr:rowOff>127001</xdr:rowOff>
    </xdr:to>
    <xdr:pic>
      <xdr:nvPicPr>
        <xdr:cNvPr id="2" name="Picture 1" descr="CIC_600VCu-0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55835" y="3153835"/>
          <a:ext cx="878416" cy="878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electricalnotes.wordpress.co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1"/>
  <sheetViews>
    <sheetView showGridLines="0" tabSelected="1" zoomScale="90" zoomScaleNormal="90" workbookViewId="0">
      <selection activeCell="H53" sqref="H53"/>
    </sheetView>
  </sheetViews>
  <sheetFormatPr defaultColWidth="9.14453125" defaultRowHeight="12.75" x14ac:dyDescent="0.2"/>
  <cols>
    <col min="1" max="1" width="2.5546875" style="9" customWidth="1"/>
    <col min="2" max="2" width="9.01171875" style="8" customWidth="1"/>
    <col min="3" max="3" width="27.0390625" style="8" customWidth="1"/>
    <col min="4" max="4" width="24.078125" style="8" customWidth="1"/>
    <col min="5" max="5" width="12.5078125" style="8" customWidth="1"/>
    <col min="6" max="6" width="18.5625" style="8" customWidth="1"/>
    <col min="7" max="7" width="15.73828125" style="8" customWidth="1"/>
    <col min="8" max="8" width="29.86328125" style="9" customWidth="1"/>
    <col min="9" max="16384" width="9.14453125" style="9"/>
  </cols>
  <sheetData>
    <row r="1" spans="2:8" ht="7.5" customHeight="1" x14ac:dyDescent="0.2"/>
    <row r="2" spans="2:8" ht="20.25" customHeight="1" x14ac:dyDescent="0.2">
      <c r="B2" s="34" t="s">
        <v>22</v>
      </c>
      <c r="C2" s="34"/>
      <c r="D2" s="34"/>
      <c r="E2" s="34"/>
      <c r="F2" s="36" t="s">
        <v>18</v>
      </c>
      <c r="G2" s="36"/>
      <c r="H2" s="36"/>
    </row>
    <row r="3" spans="2:8" ht="3.75" customHeight="1" x14ac:dyDescent="0.2"/>
    <row r="4" spans="2:8" s="1" customFormat="1" ht="18.75" customHeight="1" x14ac:dyDescent="0.2">
      <c r="B4" s="28" t="s">
        <v>14</v>
      </c>
      <c r="C4" s="28" t="s">
        <v>12</v>
      </c>
      <c r="D4" s="28" t="s">
        <v>3</v>
      </c>
      <c r="E4" s="28" t="s">
        <v>2</v>
      </c>
      <c r="F4" s="28" t="s">
        <v>4</v>
      </c>
      <c r="G4" s="28" t="s">
        <v>5</v>
      </c>
      <c r="H4" s="28" t="s">
        <v>11</v>
      </c>
    </row>
    <row r="5" spans="2:8" x14ac:dyDescent="0.2">
      <c r="B5" s="11">
        <v>1</v>
      </c>
      <c r="C5" s="11"/>
      <c r="D5" s="11" t="s">
        <v>24</v>
      </c>
      <c r="E5" s="11">
        <v>6</v>
      </c>
      <c r="F5" s="11">
        <v>12</v>
      </c>
      <c r="G5" s="29">
        <f>((3.14/4)*F5*F5)*E5</f>
        <v>678.24</v>
      </c>
      <c r="H5" s="11"/>
    </row>
    <row r="6" spans="2:8" x14ac:dyDescent="0.2">
      <c r="B6" s="7">
        <v>2</v>
      </c>
      <c r="C6" s="7"/>
      <c r="D6" s="7"/>
      <c r="E6" s="7"/>
      <c r="F6" s="7"/>
      <c r="G6" s="29">
        <f t="shared" ref="G6:G17" si="0">((3.14/4)*F6*F6)*E6</f>
        <v>0</v>
      </c>
      <c r="H6" s="7"/>
    </row>
    <row r="7" spans="2:8" x14ac:dyDescent="0.2">
      <c r="B7" s="7">
        <v>3</v>
      </c>
      <c r="C7" s="7"/>
      <c r="D7" s="7"/>
      <c r="E7" s="7"/>
      <c r="F7" s="7"/>
      <c r="G7" s="29">
        <f t="shared" si="0"/>
        <v>0</v>
      </c>
      <c r="H7" s="7"/>
    </row>
    <row r="8" spans="2:8" x14ac:dyDescent="0.2">
      <c r="B8" s="7"/>
      <c r="C8" s="7"/>
      <c r="D8" s="7"/>
      <c r="E8" s="7"/>
      <c r="F8" s="7"/>
      <c r="G8" s="29">
        <f t="shared" si="0"/>
        <v>0</v>
      </c>
      <c r="H8" s="7"/>
    </row>
    <row r="9" spans="2:8" x14ac:dyDescent="0.2">
      <c r="B9" s="7"/>
      <c r="C9" s="7"/>
      <c r="D9" s="7"/>
      <c r="E9" s="7"/>
      <c r="F9" s="7"/>
      <c r="G9" s="29">
        <f t="shared" si="0"/>
        <v>0</v>
      </c>
      <c r="H9" s="7"/>
    </row>
    <row r="10" spans="2:8" x14ac:dyDescent="0.2">
      <c r="B10" s="7"/>
      <c r="C10" s="7"/>
      <c r="D10" s="7"/>
      <c r="E10" s="7"/>
      <c r="F10" s="7"/>
      <c r="G10" s="29">
        <f t="shared" si="0"/>
        <v>0</v>
      </c>
      <c r="H10" s="7"/>
    </row>
    <row r="11" spans="2:8" x14ac:dyDescent="0.2">
      <c r="B11" s="7"/>
      <c r="C11" s="7"/>
      <c r="D11" s="7"/>
      <c r="E11" s="7"/>
      <c r="F11" s="7"/>
      <c r="G11" s="29">
        <f t="shared" si="0"/>
        <v>0</v>
      </c>
      <c r="H11" s="7"/>
    </row>
    <row r="12" spans="2:8" x14ac:dyDescent="0.2">
      <c r="B12" s="7"/>
      <c r="C12" s="7"/>
      <c r="D12" s="7"/>
      <c r="E12" s="7"/>
      <c r="F12" s="7"/>
      <c r="G12" s="29">
        <f t="shared" si="0"/>
        <v>0</v>
      </c>
      <c r="H12" s="7"/>
    </row>
    <row r="13" spans="2:8" x14ac:dyDescent="0.2">
      <c r="B13" s="7"/>
      <c r="C13" s="7"/>
      <c r="D13" s="7"/>
      <c r="E13" s="7"/>
      <c r="F13" s="7"/>
      <c r="G13" s="29">
        <f t="shared" si="0"/>
        <v>0</v>
      </c>
      <c r="H13" s="7"/>
    </row>
    <row r="14" spans="2:8" x14ac:dyDescent="0.2">
      <c r="B14" s="7"/>
      <c r="C14" s="7"/>
      <c r="D14" s="7"/>
      <c r="E14" s="7"/>
      <c r="F14" s="7"/>
      <c r="G14" s="29">
        <f t="shared" si="0"/>
        <v>0</v>
      </c>
      <c r="H14" s="7"/>
    </row>
    <row r="15" spans="2:8" x14ac:dyDescent="0.2">
      <c r="B15" s="7"/>
      <c r="C15" s="7"/>
      <c r="D15" s="7"/>
      <c r="E15" s="7"/>
      <c r="F15" s="7"/>
      <c r="G15" s="29">
        <f t="shared" si="0"/>
        <v>0</v>
      </c>
      <c r="H15" s="7"/>
    </row>
    <row r="16" spans="2:8" x14ac:dyDescent="0.2">
      <c r="B16" s="7"/>
      <c r="C16" s="7"/>
      <c r="D16" s="7"/>
      <c r="E16" s="7"/>
      <c r="F16" s="7"/>
      <c r="G16" s="29">
        <f t="shared" si="0"/>
        <v>0</v>
      </c>
      <c r="H16" s="7"/>
    </row>
    <row r="17" spans="2:8" x14ac:dyDescent="0.2">
      <c r="B17" s="7"/>
      <c r="C17" s="7"/>
      <c r="D17" s="7"/>
      <c r="E17" s="7"/>
      <c r="F17" s="7"/>
      <c r="G17" s="29">
        <f t="shared" si="0"/>
        <v>0</v>
      </c>
      <c r="H17" s="7"/>
    </row>
    <row r="18" spans="2:8" ht="14.25" x14ac:dyDescent="0.2">
      <c r="E18" s="12">
        <f>SUM(E5:E17)</f>
        <v>6</v>
      </c>
      <c r="F18" s="12"/>
      <c r="G18" s="13">
        <f>SUM(G5:G17)</f>
        <v>678.24</v>
      </c>
    </row>
    <row r="19" spans="2:8" ht="3.75" customHeight="1" x14ac:dyDescent="0.2">
      <c r="G19" s="14"/>
    </row>
    <row r="20" spans="2:8" ht="16.5" customHeight="1" x14ac:dyDescent="0.2">
      <c r="B20" s="39" t="s">
        <v>15</v>
      </c>
      <c r="C20" s="39"/>
      <c r="D20" s="39"/>
      <c r="E20" s="39"/>
      <c r="F20" s="39"/>
      <c r="G20" s="5"/>
      <c r="H20" s="5"/>
    </row>
    <row r="21" spans="2:8" ht="16.5" customHeight="1" x14ac:dyDescent="0.2">
      <c r="B21" s="37" t="s">
        <v>19</v>
      </c>
      <c r="C21" s="37"/>
      <c r="D21" s="37"/>
      <c r="E21" s="23">
        <v>50</v>
      </c>
      <c r="F21" s="10" t="s">
        <v>1</v>
      </c>
      <c r="G21" s="5"/>
      <c r="H21" s="5"/>
    </row>
    <row r="22" spans="2:8" ht="12.75" customHeight="1" x14ac:dyDescent="0.2">
      <c r="B22" s="37" t="s">
        <v>16</v>
      </c>
      <c r="C22" s="37"/>
      <c r="D22" s="37"/>
      <c r="E22" s="3">
        <f>E18</f>
        <v>6</v>
      </c>
      <c r="F22" s="10" t="s">
        <v>0</v>
      </c>
      <c r="G22" s="15"/>
      <c r="H22" s="15"/>
    </row>
    <row r="23" spans="2:8" ht="12.75" customHeight="1" x14ac:dyDescent="0.2">
      <c r="B23" s="37" t="s">
        <v>23</v>
      </c>
      <c r="C23" s="37"/>
      <c r="D23" s="37"/>
      <c r="E23" s="3">
        <f>MAX(F5:F17)</f>
        <v>12</v>
      </c>
      <c r="F23" s="10" t="s">
        <v>1</v>
      </c>
      <c r="G23" s="15"/>
      <c r="H23" s="16"/>
    </row>
    <row r="24" spans="2:8" ht="14.25" x14ac:dyDescent="0.2">
      <c r="B24" s="38" t="s">
        <v>17</v>
      </c>
      <c r="C24" s="38"/>
      <c r="D24" s="38"/>
      <c r="E24" s="4">
        <f>G18</f>
        <v>678.24</v>
      </c>
      <c r="F24" s="6" t="s">
        <v>9</v>
      </c>
      <c r="G24" s="17"/>
    </row>
    <row r="25" spans="2:8" s="27" customFormat="1" ht="14.25" x14ac:dyDescent="0.2">
      <c r="B25" s="41" t="s">
        <v>20</v>
      </c>
      <c r="C25" s="41"/>
      <c r="D25" s="41"/>
      <c r="E25" s="24">
        <f>(3.14/4)*E21*E21</f>
        <v>1962.5</v>
      </c>
      <c r="F25" s="25" t="s">
        <v>9</v>
      </c>
      <c r="G25" s="26"/>
    </row>
    <row r="26" spans="2:8" x14ac:dyDescent="0.2">
      <c r="B26" s="37" t="s">
        <v>10</v>
      </c>
      <c r="C26" s="37"/>
      <c r="D26" s="37"/>
      <c r="E26" s="22">
        <f>IF(E18&gt;=3,40%,IF(E18=2,31%,53%))</f>
        <v>0.4</v>
      </c>
      <c r="F26" s="2"/>
      <c r="G26" s="17"/>
    </row>
    <row r="27" spans="2:8" ht="14.25" x14ac:dyDescent="0.2">
      <c r="B27" s="38" t="s">
        <v>21</v>
      </c>
      <c r="C27" s="38"/>
      <c r="D27" s="38"/>
      <c r="E27" s="4">
        <f>E25*E26</f>
        <v>785</v>
      </c>
      <c r="F27" s="6" t="s">
        <v>9</v>
      </c>
      <c r="G27" s="17"/>
    </row>
    <row r="28" spans="2:8" ht="6" customHeight="1" x14ac:dyDescent="0.2">
      <c r="B28" s="18"/>
      <c r="C28" s="18"/>
      <c r="D28" s="18"/>
      <c r="E28" s="18"/>
      <c r="F28" s="2"/>
      <c r="G28" s="17"/>
    </row>
    <row r="29" spans="2:8" ht="17.25" x14ac:dyDescent="0.2">
      <c r="B29" s="40" t="s">
        <v>13</v>
      </c>
      <c r="C29" s="40"/>
      <c r="D29" s="40"/>
      <c r="E29" s="40"/>
      <c r="F29" s="40"/>
      <c r="G29" s="5"/>
    </row>
    <row r="30" spans="2:8" s="20" customFormat="1" ht="18" x14ac:dyDescent="0.2">
      <c r="B30" s="35" t="s">
        <v>8</v>
      </c>
      <c r="C30" s="35"/>
      <c r="D30" s="35"/>
      <c r="E30" s="30">
        <f>ROUNDUP((E24/E27),0)</f>
        <v>1</v>
      </c>
      <c r="F30" s="31" t="s">
        <v>6</v>
      </c>
      <c r="G30" s="19"/>
    </row>
    <row r="31" spans="2:8" s="20" customFormat="1" ht="18" x14ac:dyDescent="0.2">
      <c r="B31" s="35" t="s">
        <v>7</v>
      </c>
      <c r="C31" s="35"/>
      <c r="D31" s="35"/>
      <c r="E31" s="32">
        <f>E21</f>
        <v>50</v>
      </c>
      <c r="F31" s="33" t="s">
        <v>1</v>
      </c>
      <c r="G31" s="21"/>
    </row>
  </sheetData>
  <sheetProtection password="CE28" sheet="1" objects="1" scenarios="1" formatCells="0" formatColumns="0" formatRows="0" sort="0" autoFilter="0"/>
  <mergeCells count="13">
    <mergeCell ref="B2:E2"/>
    <mergeCell ref="B30:D30"/>
    <mergeCell ref="B31:D31"/>
    <mergeCell ref="F2:H2"/>
    <mergeCell ref="B22:D22"/>
    <mergeCell ref="B24:D24"/>
    <mergeCell ref="B20:F20"/>
    <mergeCell ref="B29:F29"/>
    <mergeCell ref="B25:D25"/>
    <mergeCell ref="B26:D26"/>
    <mergeCell ref="B27:D27"/>
    <mergeCell ref="B23:D23"/>
    <mergeCell ref="B21:D21"/>
  </mergeCells>
  <hyperlinks>
    <hyperlink ref="F2:H2" r:id="rId1" display="Jignesh.Parmar, www.electricalnotes.wordpress.com, jiguparmar@yahoo.com" xr:uid="{00000000-0004-0000-0000-000000000000}"/>
  </hyperlinks>
  <pageMargins left="0.7" right="0.7" top="0.75" bottom="0.75" header="0.3" footer="0.3"/>
  <pageSetup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Conduit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</dc:creator>
  <cp:lastModifiedBy>Jignesh Parmar</cp:lastModifiedBy>
  <dcterms:created xsi:type="dcterms:W3CDTF">2012-01-11T04:40:29Z</dcterms:created>
  <dcterms:modified xsi:type="dcterms:W3CDTF">2018-11-03T12:20:25Z</dcterms:modified>
</cp:coreProperties>
</file>