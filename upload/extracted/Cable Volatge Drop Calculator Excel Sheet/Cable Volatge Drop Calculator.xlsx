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000001_{16973485-5549-674B-BAA7-B32ED5C7BB7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Voltage Drop" sheetId="3" r:id="rId1"/>
    <sheet name="Cable Detail" sheetId="4" r:id="rId2"/>
  </sheets>
  <definedNames>
    <definedName name="_xlnm._FilterDatabase" localSheetId="0" hidden="1">'Voltage Drop'!$B$6:$Y$31</definedName>
    <definedName name="pp">'Cable Detail'!$L$2:$M$3</definedName>
    <definedName name="size">'Cable Detail'!$B$5:$B$278</definedName>
    <definedName name="table">'Cable Detail'!$B$5:$J$278</definedName>
    <definedName name="tt">'Cable Detail'!$L$2:$L$3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4" i="3" l="1"/>
  <c r="AB24" i="3"/>
  <c r="AC24" i="3"/>
  <c r="AD24" i="3"/>
  <c r="AE24" i="3"/>
  <c r="AF24" i="3"/>
  <c r="AG24" i="3"/>
  <c r="AA25" i="3"/>
  <c r="AB25" i="3"/>
  <c r="AC25" i="3"/>
  <c r="AD25" i="3"/>
  <c r="AE25" i="3"/>
  <c r="AF25" i="3"/>
  <c r="AG25" i="3"/>
  <c r="AA26" i="3"/>
  <c r="AB26" i="3"/>
  <c r="AC26" i="3"/>
  <c r="AD26" i="3"/>
  <c r="AE26" i="3"/>
  <c r="AF26" i="3"/>
  <c r="AG26" i="3"/>
  <c r="AA27" i="3"/>
  <c r="AB27" i="3"/>
  <c r="AC27" i="3"/>
  <c r="AD27" i="3"/>
  <c r="AE27" i="3"/>
  <c r="AF27" i="3"/>
  <c r="AG27" i="3"/>
  <c r="AA28" i="3"/>
  <c r="AB28" i="3"/>
  <c r="AC28" i="3"/>
  <c r="AD28" i="3"/>
  <c r="AE28" i="3"/>
  <c r="AF28" i="3"/>
  <c r="AG28" i="3"/>
  <c r="AA29" i="3"/>
  <c r="AB29" i="3"/>
  <c r="AC29" i="3"/>
  <c r="AD29" i="3"/>
  <c r="AE29" i="3"/>
  <c r="AF29" i="3"/>
  <c r="AG29" i="3"/>
  <c r="AA30" i="3"/>
  <c r="AB30" i="3"/>
  <c r="AC30" i="3"/>
  <c r="AD30" i="3"/>
  <c r="AE30" i="3"/>
  <c r="AF30" i="3"/>
  <c r="AG30" i="3"/>
  <c r="AA31" i="3"/>
  <c r="AB31" i="3"/>
  <c r="AC31" i="3"/>
  <c r="AD31" i="3"/>
  <c r="AE31" i="3"/>
  <c r="AF31" i="3"/>
  <c r="AG31" i="3"/>
  <c r="AA32" i="3"/>
  <c r="AB32" i="3"/>
  <c r="AC32" i="3"/>
  <c r="J32" i="3"/>
  <c r="AD32" i="3"/>
  <c r="AE32" i="3"/>
  <c r="AF32" i="3"/>
  <c r="AG32" i="3"/>
  <c r="AA33" i="3"/>
  <c r="AB33" i="3"/>
  <c r="I33" i="3"/>
  <c r="AC33" i="3"/>
  <c r="J33" i="3"/>
  <c r="AD33" i="3"/>
  <c r="AE33" i="3"/>
  <c r="AF33" i="3"/>
  <c r="AG33" i="3"/>
  <c r="AA34" i="3"/>
  <c r="AB34" i="3"/>
  <c r="I34" i="3"/>
  <c r="AC34" i="3"/>
  <c r="AD34" i="3"/>
  <c r="AE34" i="3"/>
  <c r="AF34" i="3"/>
  <c r="AG34" i="3"/>
  <c r="AA35" i="3"/>
  <c r="AB35" i="3"/>
  <c r="I35" i="3"/>
  <c r="AC35" i="3"/>
  <c r="J35" i="3"/>
  <c r="AD35" i="3"/>
  <c r="AE35" i="3"/>
  <c r="AF35" i="3"/>
  <c r="AG35" i="3"/>
  <c r="AA36" i="3"/>
  <c r="AB36" i="3"/>
  <c r="AC36" i="3"/>
  <c r="J36" i="3"/>
  <c r="AD36" i="3"/>
  <c r="AE36" i="3"/>
  <c r="AF36" i="3"/>
  <c r="AG36" i="3"/>
  <c r="AA37" i="3"/>
  <c r="AB37" i="3"/>
  <c r="AC37" i="3"/>
  <c r="J37" i="3"/>
  <c r="AD37" i="3"/>
  <c r="AE37" i="3"/>
  <c r="AF37" i="3"/>
  <c r="AG37" i="3"/>
  <c r="AA38" i="3"/>
  <c r="AB38" i="3"/>
  <c r="I38" i="3"/>
  <c r="AC38" i="3"/>
  <c r="AD38" i="3"/>
  <c r="AE38" i="3"/>
  <c r="AF38" i="3"/>
  <c r="AG38" i="3"/>
  <c r="AA39" i="3"/>
  <c r="AB39" i="3"/>
  <c r="I39" i="3"/>
  <c r="AC39" i="3"/>
  <c r="AD39" i="3"/>
  <c r="AE39" i="3"/>
  <c r="AF39" i="3"/>
  <c r="AG39" i="3"/>
  <c r="AA40" i="3"/>
  <c r="AB40" i="3"/>
  <c r="AC40" i="3"/>
  <c r="J40" i="3"/>
  <c r="AD40" i="3"/>
  <c r="AE40" i="3"/>
  <c r="AF40" i="3"/>
  <c r="AG40" i="3"/>
  <c r="AA41" i="3"/>
  <c r="AB41" i="3"/>
  <c r="AC41" i="3"/>
  <c r="J41" i="3"/>
  <c r="AD41" i="3"/>
  <c r="AE41" i="3"/>
  <c r="AF41" i="3"/>
  <c r="AG41" i="3"/>
  <c r="AA42" i="3"/>
  <c r="AB42" i="3"/>
  <c r="I42" i="3"/>
  <c r="AC42" i="3"/>
  <c r="AD42" i="3"/>
  <c r="AE42" i="3"/>
  <c r="AF42" i="3"/>
  <c r="AG42" i="3"/>
  <c r="AA43" i="3"/>
  <c r="AB43" i="3"/>
  <c r="I43" i="3"/>
  <c r="AC43" i="3"/>
  <c r="AD43" i="3"/>
  <c r="AE43" i="3"/>
  <c r="AF43" i="3"/>
  <c r="AG43" i="3"/>
  <c r="AA44" i="3"/>
  <c r="AB44" i="3"/>
  <c r="AC44" i="3"/>
  <c r="J44" i="3"/>
  <c r="AD44" i="3"/>
  <c r="AE44" i="3"/>
  <c r="AF44" i="3"/>
  <c r="AG44" i="3"/>
  <c r="AA45" i="3"/>
  <c r="AB45" i="3"/>
  <c r="AC45" i="3"/>
  <c r="J45" i="3"/>
  <c r="AD45" i="3"/>
  <c r="AE45" i="3"/>
  <c r="AF45" i="3"/>
  <c r="AG45" i="3"/>
  <c r="AA46" i="3"/>
  <c r="AB46" i="3"/>
  <c r="I46" i="3"/>
  <c r="AC46" i="3"/>
  <c r="AD46" i="3"/>
  <c r="AE46" i="3"/>
  <c r="AF46" i="3"/>
  <c r="AG46" i="3"/>
  <c r="AA47" i="3"/>
  <c r="AB47" i="3"/>
  <c r="I47" i="3"/>
  <c r="AC47" i="3"/>
  <c r="AD47" i="3"/>
  <c r="AE47" i="3"/>
  <c r="AF47" i="3"/>
  <c r="AG47" i="3"/>
  <c r="AA48" i="3"/>
  <c r="AB48" i="3"/>
  <c r="AC48" i="3"/>
  <c r="J48" i="3"/>
  <c r="AD48" i="3"/>
  <c r="AE48" i="3"/>
  <c r="AF48" i="3"/>
  <c r="AG48" i="3"/>
  <c r="AA49" i="3"/>
  <c r="AB49" i="3"/>
  <c r="AC49" i="3"/>
  <c r="J49" i="3"/>
  <c r="AD49" i="3"/>
  <c r="AE49" i="3"/>
  <c r="AF49" i="3"/>
  <c r="AG49" i="3"/>
  <c r="AA50" i="3"/>
  <c r="AB50" i="3"/>
  <c r="I50" i="3"/>
  <c r="AC50" i="3"/>
  <c r="AD50" i="3"/>
  <c r="AE50" i="3"/>
  <c r="AF50" i="3"/>
  <c r="AG50" i="3"/>
  <c r="AA51" i="3"/>
  <c r="AB51" i="3"/>
  <c r="I51" i="3"/>
  <c r="AC51" i="3"/>
  <c r="J51" i="3"/>
  <c r="AD51" i="3"/>
  <c r="AE51" i="3"/>
  <c r="AF51" i="3"/>
  <c r="AG51" i="3"/>
  <c r="AA52" i="3"/>
  <c r="AB52" i="3"/>
  <c r="AC52" i="3"/>
  <c r="J52" i="3"/>
  <c r="AD52" i="3"/>
  <c r="AE52" i="3"/>
  <c r="AF52" i="3"/>
  <c r="AG52" i="3"/>
  <c r="AA53" i="3"/>
  <c r="AB53" i="3"/>
  <c r="AC53" i="3"/>
  <c r="J53" i="3"/>
  <c r="AD53" i="3"/>
  <c r="AE53" i="3"/>
  <c r="AF53" i="3"/>
  <c r="AG53" i="3"/>
  <c r="AA54" i="3"/>
  <c r="AB54" i="3"/>
  <c r="I54" i="3"/>
  <c r="AC54" i="3"/>
  <c r="AD54" i="3"/>
  <c r="AE54" i="3"/>
  <c r="AF54" i="3"/>
  <c r="AG54" i="3"/>
  <c r="AA55" i="3"/>
  <c r="AB55" i="3"/>
  <c r="I55" i="3"/>
  <c r="AC55" i="3"/>
  <c r="AD55" i="3"/>
  <c r="AE55" i="3"/>
  <c r="AF55" i="3"/>
  <c r="AG55" i="3"/>
  <c r="AA56" i="3"/>
  <c r="AB56" i="3"/>
  <c r="AC56" i="3"/>
  <c r="J56" i="3"/>
  <c r="AD56" i="3"/>
  <c r="AE56" i="3"/>
  <c r="AF56" i="3"/>
  <c r="AG56" i="3"/>
  <c r="AA57" i="3"/>
  <c r="AB57" i="3"/>
  <c r="AC57" i="3"/>
  <c r="J57" i="3"/>
  <c r="AD57" i="3"/>
  <c r="AE57" i="3"/>
  <c r="AF57" i="3"/>
  <c r="AG57" i="3"/>
  <c r="AA58" i="3"/>
  <c r="AB58" i="3"/>
  <c r="I58" i="3"/>
  <c r="AC58" i="3"/>
  <c r="AD58" i="3"/>
  <c r="AE58" i="3"/>
  <c r="AF58" i="3"/>
  <c r="AG58" i="3"/>
  <c r="AA59" i="3"/>
  <c r="AB59" i="3"/>
  <c r="I59" i="3"/>
  <c r="AC59" i="3"/>
  <c r="AD59" i="3"/>
  <c r="AE59" i="3"/>
  <c r="AF59" i="3"/>
  <c r="AG59" i="3"/>
  <c r="AA60" i="3"/>
  <c r="AB60" i="3"/>
  <c r="AC60" i="3"/>
  <c r="J60" i="3"/>
  <c r="AD60" i="3"/>
  <c r="AE60" i="3"/>
  <c r="AF60" i="3"/>
  <c r="AG60" i="3"/>
  <c r="AA61" i="3"/>
  <c r="AB61" i="3"/>
  <c r="AC61" i="3"/>
  <c r="J61" i="3"/>
  <c r="AD61" i="3"/>
  <c r="AE61" i="3"/>
  <c r="AF61" i="3"/>
  <c r="AG61" i="3"/>
  <c r="AA62" i="3"/>
  <c r="AB62" i="3"/>
  <c r="AC62" i="3"/>
  <c r="AD62" i="3"/>
  <c r="AE62" i="3"/>
  <c r="AF62" i="3"/>
  <c r="AG62" i="3"/>
  <c r="AA63" i="3"/>
  <c r="AB63" i="3"/>
  <c r="I63" i="3"/>
  <c r="AC63" i="3"/>
  <c r="AD63" i="3"/>
  <c r="AE63" i="3"/>
  <c r="AF63" i="3"/>
  <c r="AG63" i="3"/>
  <c r="AA64" i="3"/>
  <c r="AB64" i="3"/>
  <c r="AC64" i="3"/>
  <c r="J64" i="3"/>
  <c r="AD64" i="3"/>
  <c r="AE64" i="3"/>
  <c r="AF64" i="3"/>
  <c r="AG64" i="3"/>
  <c r="AA65" i="3"/>
  <c r="AB65" i="3"/>
  <c r="AC65" i="3"/>
  <c r="J65" i="3"/>
  <c r="AD65" i="3"/>
  <c r="AE65" i="3"/>
  <c r="AF65" i="3"/>
  <c r="AG65" i="3"/>
  <c r="AA66" i="3"/>
  <c r="AB66" i="3"/>
  <c r="I66" i="3"/>
  <c r="AC66" i="3"/>
  <c r="AD66" i="3"/>
  <c r="AE66" i="3"/>
  <c r="AF66" i="3"/>
  <c r="AG66" i="3"/>
  <c r="AA67" i="3"/>
  <c r="AB67" i="3"/>
  <c r="I67" i="3"/>
  <c r="AC67" i="3"/>
  <c r="J67" i="3"/>
  <c r="AD67" i="3"/>
  <c r="AE67" i="3"/>
  <c r="AF67" i="3"/>
  <c r="AG67" i="3"/>
  <c r="AA68" i="3"/>
  <c r="AB68" i="3"/>
  <c r="I68" i="3"/>
  <c r="AC68" i="3"/>
  <c r="J68" i="3"/>
  <c r="AD68" i="3"/>
  <c r="AE68" i="3"/>
  <c r="AF68" i="3"/>
  <c r="AG68" i="3"/>
  <c r="AA69" i="3"/>
  <c r="AB69" i="3"/>
  <c r="I69" i="3"/>
  <c r="AC69" i="3"/>
  <c r="J69" i="3"/>
  <c r="AD69" i="3"/>
  <c r="AE69" i="3"/>
  <c r="AF69" i="3"/>
  <c r="AG69" i="3"/>
  <c r="AA70" i="3"/>
  <c r="AB70" i="3"/>
  <c r="I70" i="3"/>
  <c r="AC70" i="3"/>
  <c r="AD70" i="3"/>
  <c r="AE70" i="3"/>
  <c r="AF70" i="3"/>
  <c r="AG70" i="3"/>
  <c r="AA71" i="3"/>
  <c r="AB71" i="3"/>
  <c r="I71" i="3"/>
  <c r="AC71" i="3"/>
  <c r="AD71" i="3"/>
  <c r="AE71" i="3"/>
  <c r="AF71" i="3"/>
  <c r="AG71" i="3"/>
  <c r="AA72" i="3"/>
  <c r="AB72" i="3"/>
  <c r="I72" i="3"/>
  <c r="AC72" i="3"/>
  <c r="J72" i="3"/>
  <c r="AD72" i="3"/>
  <c r="AE72" i="3"/>
  <c r="AF72" i="3"/>
  <c r="AG72" i="3"/>
  <c r="AA73" i="3"/>
  <c r="AB73" i="3"/>
  <c r="I73" i="3"/>
  <c r="AC73" i="3"/>
  <c r="J73" i="3"/>
  <c r="AD73" i="3"/>
  <c r="AE73" i="3"/>
  <c r="AF73" i="3"/>
  <c r="AG73" i="3"/>
  <c r="AA74" i="3"/>
  <c r="AB74" i="3"/>
  <c r="I74" i="3"/>
  <c r="AC74" i="3"/>
  <c r="AD74" i="3"/>
  <c r="AE74" i="3"/>
  <c r="AF74" i="3"/>
  <c r="AG74" i="3"/>
  <c r="AA75" i="3"/>
  <c r="AB75" i="3"/>
  <c r="I75" i="3"/>
  <c r="AC75" i="3"/>
  <c r="AD75" i="3"/>
  <c r="AE75" i="3"/>
  <c r="AF75" i="3"/>
  <c r="AG75" i="3"/>
  <c r="AA76" i="3"/>
  <c r="AB76" i="3"/>
  <c r="I76" i="3"/>
  <c r="AC76" i="3"/>
  <c r="J76" i="3"/>
  <c r="AD76" i="3"/>
  <c r="AE76" i="3"/>
  <c r="AF76" i="3"/>
  <c r="AG76" i="3"/>
  <c r="AA77" i="3"/>
  <c r="AB77" i="3"/>
  <c r="I77" i="3"/>
  <c r="AC77" i="3"/>
  <c r="J77" i="3"/>
  <c r="AD77" i="3"/>
  <c r="AE77" i="3"/>
  <c r="AF77" i="3"/>
  <c r="AG77" i="3"/>
  <c r="AA78" i="3"/>
  <c r="AB78" i="3"/>
  <c r="I78" i="3"/>
  <c r="AC78" i="3"/>
  <c r="AD78" i="3"/>
  <c r="AE78" i="3"/>
  <c r="AF78" i="3"/>
  <c r="AG78" i="3"/>
  <c r="AA79" i="3"/>
  <c r="AB79" i="3"/>
  <c r="I79" i="3"/>
  <c r="AC79" i="3"/>
  <c r="AD79" i="3"/>
  <c r="AE79" i="3"/>
  <c r="AF79" i="3"/>
  <c r="AG79" i="3"/>
  <c r="AA80" i="3"/>
  <c r="AB80" i="3"/>
  <c r="I80" i="3"/>
  <c r="AC80" i="3"/>
  <c r="J80" i="3"/>
  <c r="AD80" i="3"/>
  <c r="AE80" i="3"/>
  <c r="AF80" i="3"/>
  <c r="AG80" i="3"/>
  <c r="AA81" i="3"/>
  <c r="AB81" i="3"/>
  <c r="I81" i="3"/>
  <c r="AC81" i="3"/>
  <c r="J81" i="3"/>
  <c r="AD81" i="3"/>
  <c r="AE81" i="3"/>
  <c r="AF81" i="3"/>
  <c r="AG81" i="3"/>
  <c r="AA82" i="3"/>
  <c r="AB82" i="3"/>
  <c r="I82" i="3"/>
  <c r="AC82" i="3"/>
  <c r="AD82" i="3"/>
  <c r="AE82" i="3"/>
  <c r="AF82" i="3"/>
  <c r="AG82" i="3"/>
  <c r="AA83" i="3"/>
  <c r="AB83" i="3"/>
  <c r="I83" i="3"/>
  <c r="AC83" i="3"/>
  <c r="J83" i="3"/>
  <c r="AD83" i="3"/>
  <c r="AE83" i="3"/>
  <c r="AF83" i="3"/>
  <c r="AG83" i="3"/>
  <c r="AA84" i="3"/>
  <c r="AB84" i="3"/>
  <c r="AC84" i="3"/>
  <c r="J84" i="3"/>
  <c r="AD84" i="3"/>
  <c r="AE84" i="3"/>
  <c r="AF84" i="3"/>
  <c r="AG84" i="3"/>
  <c r="AA85" i="3"/>
  <c r="AB85" i="3"/>
  <c r="I85" i="3"/>
  <c r="AC85" i="3"/>
  <c r="J85" i="3"/>
  <c r="AD85" i="3"/>
  <c r="AE85" i="3"/>
  <c r="AF85" i="3"/>
  <c r="AG85" i="3"/>
  <c r="AA86" i="3"/>
  <c r="AB86" i="3"/>
  <c r="I86" i="3"/>
  <c r="AC86" i="3"/>
  <c r="AD86" i="3"/>
  <c r="AE86" i="3"/>
  <c r="AF86" i="3"/>
  <c r="AG86" i="3"/>
  <c r="AA87" i="3"/>
  <c r="AB87" i="3"/>
  <c r="I87" i="3"/>
  <c r="AC87" i="3"/>
  <c r="AD87" i="3"/>
  <c r="AE87" i="3"/>
  <c r="AF87" i="3"/>
  <c r="AG87" i="3"/>
  <c r="AA88" i="3"/>
  <c r="AB88" i="3"/>
  <c r="AC88" i="3"/>
  <c r="J88" i="3"/>
  <c r="AD88" i="3"/>
  <c r="AE88" i="3"/>
  <c r="AF88" i="3"/>
  <c r="AG88" i="3"/>
  <c r="AA89" i="3"/>
  <c r="AB89" i="3"/>
  <c r="AC89" i="3"/>
  <c r="J89" i="3"/>
  <c r="AD89" i="3"/>
  <c r="AE89" i="3"/>
  <c r="AF89" i="3"/>
  <c r="AG89" i="3"/>
  <c r="AA90" i="3"/>
  <c r="AB90" i="3"/>
  <c r="I90" i="3"/>
  <c r="AC90" i="3"/>
  <c r="AD90" i="3"/>
  <c r="AE90" i="3"/>
  <c r="AF90" i="3"/>
  <c r="AG90" i="3"/>
  <c r="AA91" i="3"/>
  <c r="AB91" i="3"/>
  <c r="I91" i="3"/>
  <c r="AC91" i="3"/>
  <c r="AD91" i="3"/>
  <c r="AE91" i="3"/>
  <c r="AF91" i="3"/>
  <c r="AG91" i="3"/>
  <c r="AA92" i="3"/>
  <c r="AB92" i="3"/>
  <c r="AC92" i="3"/>
  <c r="J92" i="3"/>
  <c r="AD92" i="3"/>
  <c r="AE92" i="3"/>
  <c r="AF92" i="3"/>
  <c r="AG92" i="3"/>
  <c r="AA93" i="3"/>
  <c r="AB93" i="3"/>
  <c r="AC93" i="3"/>
  <c r="J93" i="3"/>
  <c r="AD93" i="3"/>
  <c r="AE93" i="3"/>
  <c r="AF93" i="3"/>
  <c r="AG93" i="3"/>
  <c r="AA94" i="3"/>
  <c r="AB94" i="3"/>
  <c r="I94" i="3"/>
  <c r="AC94" i="3"/>
  <c r="J94" i="3"/>
  <c r="AD94" i="3"/>
  <c r="AE94" i="3"/>
  <c r="AF94" i="3"/>
  <c r="AG94" i="3"/>
  <c r="AA95" i="3"/>
  <c r="AB95" i="3"/>
  <c r="I95" i="3"/>
  <c r="AC95" i="3"/>
  <c r="AD95" i="3"/>
  <c r="AE95" i="3"/>
  <c r="AF95" i="3"/>
  <c r="AG95" i="3"/>
  <c r="AA96" i="3"/>
  <c r="AB96" i="3"/>
  <c r="I96" i="3"/>
  <c r="AC96" i="3"/>
  <c r="J96" i="3"/>
  <c r="AD96" i="3"/>
  <c r="AE96" i="3"/>
  <c r="AF96" i="3"/>
  <c r="AG96" i="3"/>
  <c r="AA97" i="3"/>
  <c r="AB97" i="3"/>
  <c r="I97" i="3"/>
  <c r="AC97" i="3"/>
  <c r="J97" i="3"/>
  <c r="AD97" i="3"/>
  <c r="AE97" i="3"/>
  <c r="AF97" i="3"/>
  <c r="AG97" i="3"/>
  <c r="AA98" i="3"/>
  <c r="AB98" i="3"/>
  <c r="I98" i="3"/>
  <c r="AC98" i="3"/>
  <c r="AD98" i="3"/>
  <c r="AE98" i="3"/>
  <c r="AF98" i="3"/>
  <c r="AG98" i="3"/>
  <c r="AA99" i="3"/>
  <c r="AB99" i="3"/>
  <c r="AC99" i="3"/>
  <c r="J99" i="3"/>
  <c r="AD99" i="3"/>
  <c r="AE99" i="3"/>
  <c r="AF99" i="3"/>
  <c r="AG99" i="3"/>
  <c r="AA100" i="3"/>
  <c r="AB100" i="3"/>
  <c r="I100" i="3"/>
  <c r="AC100" i="3"/>
  <c r="J100" i="3"/>
  <c r="AD100" i="3"/>
  <c r="AE100" i="3"/>
  <c r="AF100" i="3"/>
  <c r="AG100" i="3"/>
  <c r="AA101" i="3"/>
  <c r="AB101" i="3"/>
  <c r="I101" i="3"/>
  <c r="AC101" i="3"/>
  <c r="J101" i="3"/>
  <c r="AD101" i="3"/>
  <c r="AE101" i="3"/>
  <c r="AF101" i="3"/>
  <c r="AG101" i="3"/>
  <c r="AA102" i="3"/>
  <c r="AB102" i="3"/>
  <c r="I102" i="3"/>
  <c r="AC102" i="3"/>
  <c r="AD102" i="3"/>
  <c r="AE102" i="3"/>
  <c r="AF102" i="3"/>
  <c r="AG102" i="3"/>
  <c r="AA103" i="3"/>
  <c r="AB103" i="3"/>
  <c r="I103" i="3"/>
  <c r="AC103" i="3"/>
  <c r="J103" i="3"/>
  <c r="AD103" i="3"/>
  <c r="AE103" i="3"/>
  <c r="AF103" i="3"/>
  <c r="AG103" i="3"/>
  <c r="AA104" i="3"/>
  <c r="AB104" i="3"/>
  <c r="AC104" i="3"/>
  <c r="J104" i="3"/>
  <c r="AD104" i="3"/>
  <c r="AE104" i="3"/>
  <c r="AF104" i="3"/>
  <c r="AG104" i="3"/>
  <c r="AA105" i="3"/>
  <c r="AB105" i="3"/>
  <c r="I105" i="3"/>
  <c r="AC105" i="3"/>
  <c r="J105" i="3"/>
  <c r="AD105" i="3"/>
  <c r="AE105" i="3"/>
  <c r="AF105" i="3"/>
  <c r="AG105" i="3"/>
  <c r="AA10" i="3"/>
  <c r="AB10" i="3"/>
  <c r="AC10" i="3"/>
  <c r="AD10" i="3"/>
  <c r="AE10" i="3"/>
  <c r="AF10" i="3"/>
  <c r="AG10" i="3"/>
  <c r="AA11" i="3"/>
  <c r="AB11" i="3"/>
  <c r="AC11" i="3"/>
  <c r="AD11" i="3"/>
  <c r="AE11" i="3"/>
  <c r="AF11" i="3"/>
  <c r="AG11" i="3"/>
  <c r="AA12" i="3"/>
  <c r="AB12" i="3"/>
  <c r="AC12" i="3"/>
  <c r="AD12" i="3"/>
  <c r="AE12" i="3"/>
  <c r="AF12" i="3"/>
  <c r="AG12" i="3"/>
  <c r="AA13" i="3"/>
  <c r="AB13" i="3"/>
  <c r="AC13" i="3"/>
  <c r="AD13" i="3"/>
  <c r="AE13" i="3"/>
  <c r="AF13" i="3"/>
  <c r="AG13" i="3"/>
  <c r="AA14" i="3"/>
  <c r="AB14" i="3"/>
  <c r="AC14" i="3"/>
  <c r="AD14" i="3"/>
  <c r="AE14" i="3"/>
  <c r="AF14" i="3"/>
  <c r="AG14" i="3"/>
  <c r="AA15" i="3"/>
  <c r="AB15" i="3"/>
  <c r="AC15" i="3"/>
  <c r="AD15" i="3"/>
  <c r="AE15" i="3"/>
  <c r="AF15" i="3"/>
  <c r="AG15" i="3"/>
  <c r="AA16" i="3"/>
  <c r="AB16" i="3"/>
  <c r="AC16" i="3"/>
  <c r="AD16" i="3"/>
  <c r="AE16" i="3"/>
  <c r="AF16" i="3"/>
  <c r="AG16" i="3"/>
  <c r="AA17" i="3"/>
  <c r="AB17" i="3"/>
  <c r="AC17" i="3"/>
  <c r="AD17" i="3"/>
  <c r="AE17" i="3"/>
  <c r="AF17" i="3"/>
  <c r="AG17" i="3"/>
  <c r="AA18" i="3"/>
  <c r="AB18" i="3"/>
  <c r="AC18" i="3"/>
  <c r="AD18" i="3"/>
  <c r="AE18" i="3"/>
  <c r="AF18" i="3"/>
  <c r="AG18" i="3"/>
  <c r="AA19" i="3"/>
  <c r="AB19" i="3"/>
  <c r="AC19" i="3"/>
  <c r="AD19" i="3"/>
  <c r="AE19" i="3"/>
  <c r="AF19" i="3"/>
  <c r="AG19" i="3"/>
  <c r="AA20" i="3"/>
  <c r="AB20" i="3"/>
  <c r="AC20" i="3"/>
  <c r="AD20" i="3"/>
  <c r="AE20" i="3"/>
  <c r="AF20" i="3"/>
  <c r="AG20" i="3"/>
  <c r="AA21" i="3"/>
  <c r="AB21" i="3"/>
  <c r="AC21" i="3"/>
  <c r="AD21" i="3"/>
  <c r="AE21" i="3"/>
  <c r="AF21" i="3"/>
  <c r="AG21" i="3"/>
  <c r="AA22" i="3"/>
  <c r="AB22" i="3"/>
  <c r="AC22" i="3"/>
  <c r="AD22" i="3"/>
  <c r="AE22" i="3"/>
  <c r="AF22" i="3"/>
  <c r="AG22" i="3"/>
  <c r="AA23" i="3"/>
  <c r="AB23" i="3"/>
  <c r="AC23" i="3"/>
  <c r="AD23" i="3"/>
  <c r="AE23" i="3"/>
  <c r="AF23" i="3"/>
  <c r="AG23" i="3"/>
  <c r="J39" i="3"/>
  <c r="J43" i="3"/>
  <c r="J47" i="3"/>
  <c r="J55" i="3"/>
  <c r="J59" i="3"/>
  <c r="J63" i="3"/>
  <c r="J71" i="3"/>
  <c r="J75" i="3"/>
  <c r="J79" i="3"/>
  <c r="J87" i="3"/>
  <c r="J91" i="3"/>
  <c r="J95" i="3"/>
  <c r="F32" i="3"/>
  <c r="I32" i="3"/>
  <c r="P32" i="3"/>
  <c r="U32" i="3"/>
  <c r="X32" i="3"/>
  <c r="Y32" i="3"/>
  <c r="R32" i="3"/>
  <c r="S32" i="3"/>
  <c r="F33" i="3"/>
  <c r="P33" i="3"/>
  <c r="U33" i="3"/>
  <c r="X33" i="3"/>
  <c r="Y33" i="3"/>
  <c r="R33" i="3"/>
  <c r="S33" i="3"/>
  <c r="F34" i="3"/>
  <c r="J34" i="3"/>
  <c r="P34" i="3"/>
  <c r="U34" i="3"/>
  <c r="X34" i="3"/>
  <c r="Y34" i="3"/>
  <c r="R34" i="3"/>
  <c r="S34" i="3"/>
  <c r="F35" i="3"/>
  <c r="P35" i="3"/>
  <c r="U35" i="3"/>
  <c r="X35" i="3"/>
  <c r="Y35" i="3"/>
  <c r="R35" i="3"/>
  <c r="S35" i="3"/>
  <c r="F36" i="3"/>
  <c r="I36" i="3"/>
  <c r="P36" i="3"/>
  <c r="U36" i="3"/>
  <c r="X36" i="3"/>
  <c r="Y36" i="3"/>
  <c r="R36" i="3"/>
  <c r="S36" i="3"/>
  <c r="F37" i="3"/>
  <c r="I37" i="3"/>
  <c r="P37" i="3"/>
  <c r="R37" i="3"/>
  <c r="S37" i="3"/>
  <c r="U37" i="3"/>
  <c r="X37" i="3"/>
  <c r="Y37" i="3"/>
  <c r="F38" i="3"/>
  <c r="J38" i="3"/>
  <c r="P38" i="3"/>
  <c r="U38" i="3"/>
  <c r="X38" i="3"/>
  <c r="Y38" i="3"/>
  <c r="R38" i="3"/>
  <c r="S38" i="3"/>
  <c r="F39" i="3"/>
  <c r="P39" i="3"/>
  <c r="U39" i="3"/>
  <c r="X39" i="3"/>
  <c r="Y39" i="3"/>
  <c r="R39" i="3"/>
  <c r="S39" i="3"/>
  <c r="F40" i="3"/>
  <c r="I40" i="3"/>
  <c r="P40" i="3"/>
  <c r="U40" i="3"/>
  <c r="X40" i="3"/>
  <c r="Y40" i="3"/>
  <c r="R40" i="3"/>
  <c r="S40" i="3"/>
  <c r="F41" i="3"/>
  <c r="I41" i="3"/>
  <c r="P41" i="3"/>
  <c r="R41" i="3"/>
  <c r="S41" i="3"/>
  <c r="U41" i="3"/>
  <c r="X41" i="3"/>
  <c r="Y41" i="3"/>
  <c r="F42" i="3"/>
  <c r="J42" i="3"/>
  <c r="P42" i="3"/>
  <c r="U42" i="3"/>
  <c r="X42" i="3"/>
  <c r="Y42" i="3"/>
  <c r="R42" i="3"/>
  <c r="S42" i="3"/>
  <c r="F43" i="3"/>
  <c r="P43" i="3"/>
  <c r="U43" i="3"/>
  <c r="X43" i="3"/>
  <c r="Y43" i="3"/>
  <c r="R43" i="3"/>
  <c r="S43" i="3"/>
  <c r="F44" i="3"/>
  <c r="I44" i="3"/>
  <c r="P44" i="3"/>
  <c r="U44" i="3"/>
  <c r="X44" i="3"/>
  <c r="Y44" i="3"/>
  <c r="R44" i="3"/>
  <c r="S44" i="3"/>
  <c r="F45" i="3"/>
  <c r="I45" i="3"/>
  <c r="P45" i="3"/>
  <c r="U45" i="3"/>
  <c r="X45" i="3"/>
  <c r="Y45" i="3"/>
  <c r="R45" i="3"/>
  <c r="S45" i="3"/>
  <c r="F46" i="3"/>
  <c r="J46" i="3"/>
  <c r="P46" i="3"/>
  <c r="U46" i="3"/>
  <c r="X46" i="3"/>
  <c r="Y46" i="3"/>
  <c r="R46" i="3"/>
  <c r="S46" i="3"/>
  <c r="F47" i="3"/>
  <c r="P47" i="3"/>
  <c r="U47" i="3"/>
  <c r="X47" i="3"/>
  <c r="Y47" i="3"/>
  <c r="R47" i="3"/>
  <c r="S47" i="3"/>
  <c r="F48" i="3"/>
  <c r="I48" i="3"/>
  <c r="P48" i="3"/>
  <c r="U48" i="3"/>
  <c r="X48" i="3"/>
  <c r="Y48" i="3"/>
  <c r="R48" i="3"/>
  <c r="S48" i="3"/>
  <c r="F49" i="3"/>
  <c r="I49" i="3"/>
  <c r="P49" i="3"/>
  <c r="U49" i="3"/>
  <c r="X49" i="3"/>
  <c r="Y49" i="3"/>
  <c r="R49" i="3"/>
  <c r="S49" i="3"/>
  <c r="F50" i="3"/>
  <c r="J50" i="3"/>
  <c r="P50" i="3"/>
  <c r="U50" i="3"/>
  <c r="X50" i="3"/>
  <c r="Y50" i="3"/>
  <c r="R50" i="3"/>
  <c r="S50" i="3"/>
  <c r="F51" i="3"/>
  <c r="P51" i="3"/>
  <c r="U51" i="3"/>
  <c r="X51" i="3"/>
  <c r="Y51" i="3"/>
  <c r="R51" i="3"/>
  <c r="S51" i="3"/>
  <c r="F52" i="3"/>
  <c r="I52" i="3"/>
  <c r="P52" i="3"/>
  <c r="U52" i="3"/>
  <c r="X52" i="3"/>
  <c r="Y52" i="3"/>
  <c r="R52" i="3"/>
  <c r="S52" i="3"/>
  <c r="F53" i="3"/>
  <c r="I53" i="3"/>
  <c r="P53" i="3"/>
  <c r="R53" i="3"/>
  <c r="S53" i="3"/>
  <c r="U53" i="3"/>
  <c r="X53" i="3"/>
  <c r="Y53" i="3"/>
  <c r="F54" i="3"/>
  <c r="J54" i="3"/>
  <c r="P54" i="3"/>
  <c r="U54" i="3"/>
  <c r="X54" i="3"/>
  <c r="Y54" i="3"/>
  <c r="R54" i="3"/>
  <c r="S54" i="3"/>
  <c r="F55" i="3"/>
  <c r="P55" i="3"/>
  <c r="U55" i="3"/>
  <c r="X55" i="3"/>
  <c r="Y55" i="3"/>
  <c r="R55" i="3"/>
  <c r="S55" i="3"/>
  <c r="F56" i="3"/>
  <c r="I56" i="3"/>
  <c r="P56" i="3"/>
  <c r="U56" i="3"/>
  <c r="X56" i="3"/>
  <c r="Y56" i="3"/>
  <c r="R56" i="3"/>
  <c r="S56" i="3"/>
  <c r="F57" i="3"/>
  <c r="I57" i="3"/>
  <c r="P57" i="3"/>
  <c r="R57" i="3"/>
  <c r="S57" i="3"/>
  <c r="U57" i="3"/>
  <c r="X57" i="3"/>
  <c r="Y57" i="3"/>
  <c r="F58" i="3"/>
  <c r="J58" i="3"/>
  <c r="P58" i="3"/>
  <c r="U58" i="3"/>
  <c r="X58" i="3"/>
  <c r="Y58" i="3"/>
  <c r="R58" i="3"/>
  <c r="S58" i="3"/>
  <c r="F59" i="3"/>
  <c r="P59" i="3"/>
  <c r="U59" i="3"/>
  <c r="X59" i="3"/>
  <c r="Y59" i="3"/>
  <c r="R59" i="3"/>
  <c r="S59" i="3"/>
  <c r="F60" i="3"/>
  <c r="I60" i="3"/>
  <c r="P60" i="3"/>
  <c r="U60" i="3"/>
  <c r="X60" i="3"/>
  <c r="Y60" i="3"/>
  <c r="R60" i="3"/>
  <c r="S60" i="3"/>
  <c r="F61" i="3"/>
  <c r="I61" i="3"/>
  <c r="P61" i="3"/>
  <c r="U61" i="3"/>
  <c r="X61" i="3"/>
  <c r="Y61" i="3"/>
  <c r="R61" i="3"/>
  <c r="S61" i="3"/>
  <c r="F62" i="3"/>
  <c r="I62" i="3"/>
  <c r="J62" i="3"/>
  <c r="P62" i="3"/>
  <c r="U62" i="3"/>
  <c r="X62" i="3"/>
  <c r="Y62" i="3"/>
  <c r="R62" i="3"/>
  <c r="S62" i="3"/>
  <c r="F63" i="3"/>
  <c r="P63" i="3"/>
  <c r="U63" i="3"/>
  <c r="X63" i="3"/>
  <c r="Y63" i="3"/>
  <c r="R63" i="3"/>
  <c r="S63" i="3"/>
  <c r="F64" i="3"/>
  <c r="I64" i="3"/>
  <c r="P64" i="3"/>
  <c r="U64" i="3"/>
  <c r="X64" i="3"/>
  <c r="Y64" i="3"/>
  <c r="R64" i="3"/>
  <c r="S64" i="3"/>
  <c r="F65" i="3"/>
  <c r="I65" i="3"/>
  <c r="P65" i="3"/>
  <c r="U65" i="3"/>
  <c r="X65" i="3"/>
  <c r="Y65" i="3"/>
  <c r="R65" i="3"/>
  <c r="S65" i="3"/>
  <c r="F66" i="3"/>
  <c r="J66" i="3"/>
  <c r="P66" i="3"/>
  <c r="U66" i="3"/>
  <c r="X66" i="3"/>
  <c r="Y66" i="3"/>
  <c r="R66" i="3"/>
  <c r="S66" i="3"/>
  <c r="F67" i="3"/>
  <c r="P67" i="3"/>
  <c r="U67" i="3"/>
  <c r="X67" i="3"/>
  <c r="Y67" i="3"/>
  <c r="R67" i="3"/>
  <c r="S67" i="3"/>
  <c r="F68" i="3"/>
  <c r="P68" i="3"/>
  <c r="U68" i="3"/>
  <c r="X68" i="3"/>
  <c r="Y68" i="3"/>
  <c r="R68" i="3"/>
  <c r="S68" i="3"/>
  <c r="F69" i="3"/>
  <c r="P69" i="3"/>
  <c r="R69" i="3"/>
  <c r="S69" i="3"/>
  <c r="U69" i="3"/>
  <c r="X69" i="3"/>
  <c r="Y69" i="3"/>
  <c r="F70" i="3"/>
  <c r="J70" i="3"/>
  <c r="P70" i="3"/>
  <c r="U70" i="3"/>
  <c r="X70" i="3"/>
  <c r="Y70" i="3"/>
  <c r="R70" i="3"/>
  <c r="S70" i="3"/>
  <c r="F71" i="3"/>
  <c r="P71" i="3"/>
  <c r="U71" i="3"/>
  <c r="X71" i="3"/>
  <c r="Y71" i="3"/>
  <c r="R71" i="3"/>
  <c r="S71" i="3"/>
  <c r="F72" i="3"/>
  <c r="P72" i="3"/>
  <c r="U72" i="3"/>
  <c r="X72" i="3"/>
  <c r="Y72" i="3"/>
  <c r="R72" i="3"/>
  <c r="S72" i="3"/>
  <c r="F73" i="3"/>
  <c r="P73" i="3"/>
  <c r="R73" i="3"/>
  <c r="S73" i="3"/>
  <c r="U73" i="3"/>
  <c r="X73" i="3"/>
  <c r="Y73" i="3"/>
  <c r="F74" i="3"/>
  <c r="J74" i="3"/>
  <c r="P74" i="3"/>
  <c r="U74" i="3"/>
  <c r="X74" i="3"/>
  <c r="Y74" i="3"/>
  <c r="R74" i="3"/>
  <c r="S74" i="3"/>
  <c r="F75" i="3"/>
  <c r="P75" i="3"/>
  <c r="U75" i="3"/>
  <c r="X75" i="3"/>
  <c r="Y75" i="3"/>
  <c r="R75" i="3"/>
  <c r="S75" i="3"/>
  <c r="F76" i="3"/>
  <c r="P76" i="3"/>
  <c r="U76" i="3"/>
  <c r="X76" i="3"/>
  <c r="Y76" i="3"/>
  <c r="R76" i="3"/>
  <c r="S76" i="3"/>
  <c r="F77" i="3"/>
  <c r="P77" i="3"/>
  <c r="U77" i="3"/>
  <c r="X77" i="3"/>
  <c r="Y77" i="3"/>
  <c r="R77" i="3"/>
  <c r="S77" i="3"/>
  <c r="F78" i="3"/>
  <c r="J78" i="3"/>
  <c r="P78" i="3"/>
  <c r="U78" i="3"/>
  <c r="X78" i="3"/>
  <c r="Y78" i="3"/>
  <c r="R78" i="3"/>
  <c r="S78" i="3"/>
  <c r="F79" i="3"/>
  <c r="P79" i="3"/>
  <c r="U79" i="3"/>
  <c r="X79" i="3"/>
  <c r="Y79" i="3"/>
  <c r="R79" i="3"/>
  <c r="S79" i="3"/>
  <c r="F80" i="3"/>
  <c r="P80" i="3"/>
  <c r="U80" i="3"/>
  <c r="X80" i="3"/>
  <c r="Y80" i="3"/>
  <c r="R80" i="3"/>
  <c r="S80" i="3"/>
  <c r="F81" i="3"/>
  <c r="P81" i="3"/>
  <c r="U81" i="3"/>
  <c r="X81" i="3"/>
  <c r="Y81" i="3"/>
  <c r="R81" i="3"/>
  <c r="S81" i="3"/>
  <c r="F82" i="3"/>
  <c r="J82" i="3"/>
  <c r="P82" i="3"/>
  <c r="U82" i="3"/>
  <c r="X82" i="3"/>
  <c r="Y82" i="3"/>
  <c r="R82" i="3"/>
  <c r="S82" i="3"/>
  <c r="F83" i="3"/>
  <c r="P83" i="3"/>
  <c r="U83" i="3"/>
  <c r="X83" i="3"/>
  <c r="Y83" i="3"/>
  <c r="R83" i="3"/>
  <c r="S83" i="3"/>
  <c r="F84" i="3"/>
  <c r="I84" i="3"/>
  <c r="P84" i="3"/>
  <c r="U84" i="3"/>
  <c r="X84" i="3"/>
  <c r="Y84" i="3"/>
  <c r="R84" i="3"/>
  <c r="S84" i="3"/>
  <c r="F85" i="3"/>
  <c r="P85" i="3"/>
  <c r="R85" i="3"/>
  <c r="S85" i="3"/>
  <c r="T85" i="3"/>
  <c r="V85" i="3"/>
  <c r="W85" i="3"/>
  <c r="U85" i="3"/>
  <c r="X85" i="3"/>
  <c r="Y85" i="3"/>
  <c r="F86" i="3"/>
  <c r="J86" i="3"/>
  <c r="P86" i="3"/>
  <c r="R86" i="3"/>
  <c r="S86" i="3"/>
  <c r="T86" i="3"/>
  <c r="V86" i="3"/>
  <c r="W86" i="3"/>
  <c r="U86" i="3"/>
  <c r="X86" i="3"/>
  <c r="Y86" i="3"/>
  <c r="F87" i="3"/>
  <c r="P87" i="3"/>
  <c r="U87" i="3"/>
  <c r="X87" i="3"/>
  <c r="Y87" i="3"/>
  <c r="R87" i="3"/>
  <c r="S87" i="3"/>
  <c r="F88" i="3"/>
  <c r="I88" i="3"/>
  <c r="P88" i="3"/>
  <c r="U88" i="3"/>
  <c r="X88" i="3"/>
  <c r="Y88" i="3"/>
  <c r="R88" i="3"/>
  <c r="S88" i="3"/>
  <c r="F89" i="3"/>
  <c r="I89" i="3"/>
  <c r="P89" i="3"/>
  <c r="R89" i="3"/>
  <c r="S89" i="3"/>
  <c r="T89" i="3"/>
  <c r="V89" i="3"/>
  <c r="W89" i="3"/>
  <c r="U89" i="3"/>
  <c r="X89" i="3"/>
  <c r="Y89" i="3"/>
  <c r="F90" i="3"/>
  <c r="J90" i="3"/>
  <c r="P90" i="3"/>
  <c r="R90" i="3"/>
  <c r="S90" i="3"/>
  <c r="T90" i="3"/>
  <c r="V90" i="3"/>
  <c r="W90" i="3"/>
  <c r="U90" i="3"/>
  <c r="X90" i="3"/>
  <c r="Y90" i="3"/>
  <c r="F91" i="3"/>
  <c r="P91" i="3"/>
  <c r="U91" i="3"/>
  <c r="X91" i="3"/>
  <c r="Y91" i="3"/>
  <c r="R91" i="3"/>
  <c r="S91" i="3"/>
  <c r="F92" i="3"/>
  <c r="I92" i="3"/>
  <c r="P92" i="3"/>
  <c r="U92" i="3"/>
  <c r="X92" i="3"/>
  <c r="Y92" i="3"/>
  <c r="R92" i="3"/>
  <c r="S92" i="3"/>
  <c r="F93" i="3"/>
  <c r="I93" i="3"/>
  <c r="P93" i="3"/>
  <c r="R93" i="3"/>
  <c r="S93" i="3"/>
  <c r="U93" i="3"/>
  <c r="X93" i="3"/>
  <c r="Y93" i="3"/>
  <c r="F94" i="3"/>
  <c r="P94" i="3"/>
  <c r="U94" i="3"/>
  <c r="X94" i="3"/>
  <c r="Y94" i="3"/>
  <c r="R94" i="3"/>
  <c r="S94" i="3"/>
  <c r="F95" i="3"/>
  <c r="P95" i="3"/>
  <c r="U95" i="3"/>
  <c r="X95" i="3"/>
  <c r="Y95" i="3"/>
  <c r="R95" i="3"/>
  <c r="S95" i="3"/>
  <c r="F96" i="3"/>
  <c r="P96" i="3"/>
  <c r="U96" i="3"/>
  <c r="X96" i="3"/>
  <c r="Y96" i="3"/>
  <c r="R96" i="3"/>
  <c r="S96" i="3"/>
  <c r="F97" i="3"/>
  <c r="P97" i="3"/>
  <c r="U97" i="3"/>
  <c r="X97" i="3"/>
  <c r="Y97" i="3"/>
  <c r="R97" i="3"/>
  <c r="S97" i="3"/>
  <c r="F98" i="3"/>
  <c r="J98" i="3"/>
  <c r="P98" i="3"/>
  <c r="U98" i="3"/>
  <c r="X98" i="3"/>
  <c r="Y98" i="3"/>
  <c r="R98" i="3"/>
  <c r="S98" i="3"/>
  <c r="F99" i="3"/>
  <c r="I99" i="3"/>
  <c r="P99" i="3"/>
  <c r="U99" i="3"/>
  <c r="X99" i="3"/>
  <c r="Y99" i="3"/>
  <c r="R99" i="3"/>
  <c r="S99" i="3"/>
  <c r="F100" i="3"/>
  <c r="P100" i="3"/>
  <c r="U100" i="3"/>
  <c r="X100" i="3"/>
  <c r="Y100" i="3"/>
  <c r="R100" i="3"/>
  <c r="S100" i="3"/>
  <c r="F101" i="3"/>
  <c r="P101" i="3"/>
  <c r="U101" i="3"/>
  <c r="X101" i="3"/>
  <c r="Y101" i="3"/>
  <c r="R101" i="3"/>
  <c r="S101" i="3"/>
  <c r="F102" i="3"/>
  <c r="J102" i="3"/>
  <c r="P102" i="3"/>
  <c r="U102" i="3"/>
  <c r="X102" i="3"/>
  <c r="Y102" i="3"/>
  <c r="R102" i="3"/>
  <c r="S102" i="3"/>
  <c r="F103" i="3"/>
  <c r="P103" i="3"/>
  <c r="U103" i="3"/>
  <c r="X103" i="3"/>
  <c r="Y103" i="3"/>
  <c r="R103" i="3"/>
  <c r="S103" i="3"/>
  <c r="F104" i="3"/>
  <c r="I104" i="3"/>
  <c r="P104" i="3"/>
  <c r="U104" i="3"/>
  <c r="X104" i="3"/>
  <c r="Y104" i="3"/>
  <c r="R104" i="3"/>
  <c r="S104" i="3"/>
  <c r="F105" i="3"/>
  <c r="P105" i="3"/>
  <c r="R105" i="3"/>
  <c r="S105" i="3"/>
  <c r="U105" i="3"/>
  <c r="X105" i="3"/>
  <c r="Y105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8" i="3"/>
  <c r="S9" i="3"/>
  <c r="S10" i="3"/>
  <c r="S11" i="3"/>
  <c r="S12" i="3"/>
  <c r="S13" i="3"/>
  <c r="S14" i="3"/>
  <c r="R11" i="3"/>
  <c r="R12" i="3"/>
  <c r="R13" i="3"/>
  <c r="T13" i="3"/>
  <c r="V13" i="3"/>
  <c r="W13" i="3"/>
  <c r="R14" i="3"/>
  <c r="T14" i="3"/>
  <c r="V14" i="3"/>
  <c r="W14" i="3"/>
  <c r="R15" i="3"/>
  <c r="R16" i="3"/>
  <c r="R17" i="3"/>
  <c r="R18" i="3"/>
  <c r="T18" i="3"/>
  <c r="V18" i="3"/>
  <c r="W18" i="3"/>
  <c r="R19" i="3"/>
  <c r="R20" i="3"/>
  <c r="T20" i="3"/>
  <c r="V20" i="3"/>
  <c r="W20" i="3"/>
  <c r="R21" i="3"/>
  <c r="R22" i="3"/>
  <c r="T22" i="3"/>
  <c r="V22" i="3"/>
  <c r="W22" i="3"/>
  <c r="R23" i="3"/>
  <c r="R24" i="3"/>
  <c r="T24" i="3"/>
  <c r="V24" i="3"/>
  <c r="W24" i="3"/>
  <c r="R25" i="3"/>
  <c r="R26" i="3"/>
  <c r="T26" i="3"/>
  <c r="V26" i="3"/>
  <c r="W26" i="3"/>
  <c r="R27" i="3"/>
  <c r="R28" i="3"/>
  <c r="T28" i="3"/>
  <c r="V28" i="3"/>
  <c r="W28" i="3"/>
  <c r="R29" i="3"/>
  <c r="R30" i="3"/>
  <c r="T30" i="3"/>
  <c r="V30" i="3"/>
  <c r="W30" i="3"/>
  <c r="R31" i="3"/>
  <c r="R8" i="3"/>
  <c r="T8" i="3"/>
  <c r="R9" i="3"/>
  <c r="R10" i="3"/>
  <c r="T10" i="3"/>
  <c r="V10" i="3"/>
  <c r="W10" i="3"/>
  <c r="R7" i="3"/>
  <c r="T16" i="3"/>
  <c r="V16" i="3"/>
  <c r="W16" i="3"/>
  <c r="T11" i="3"/>
  <c r="V11" i="3"/>
  <c r="W11" i="3"/>
  <c r="T12" i="3"/>
  <c r="V12" i="3"/>
  <c r="W12" i="3"/>
  <c r="S7" i="3"/>
  <c r="T7" i="3"/>
  <c r="P8" i="3"/>
  <c r="U8" i="3"/>
  <c r="P9" i="3"/>
  <c r="U9" i="3"/>
  <c r="P10" i="3"/>
  <c r="U10" i="3"/>
  <c r="X10" i="3"/>
  <c r="Y10" i="3"/>
  <c r="P11" i="3"/>
  <c r="U11" i="3"/>
  <c r="X11" i="3"/>
  <c r="Y11" i="3"/>
  <c r="P12" i="3"/>
  <c r="U12" i="3"/>
  <c r="X12" i="3"/>
  <c r="Y12" i="3"/>
  <c r="P13" i="3"/>
  <c r="U13" i="3"/>
  <c r="X13" i="3"/>
  <c r="Y13" i="3"/>
  <c r="P14" i="3"/>
  <c r="U14" i="3"/>
  <c r="X14" i="3"/>
  <c r="Y14" i="3"/>
  <c r="P15" i="3"/>
  <c r="U15" i="3"/>
  <c r="X15" i="3"/>
  <c r="Y15" i="3"/>
  <c r="P16" i="3"/>
  <c r="U16" i="3"/>
  <c r="X16" i="3"/>
  <c r="Y16" i="3"/>
  <c r="P17" i="3"/>
  <c r="U17" i="3"/>
  <c r="X17" i="3"/>
  <c r="Y17" i="3"/>
  <c r="P18" i="3"/>
  <c r="U18" i="3"/>
  <c r="X18" i="3"/>
  <c r="Y18" i="3"/>
  <c r="P19" i="3"/>
  <c r="U19" i="3"/>
  <c r="X19" i="3"/>
  <c r="Y19" i="3"/>
  <c r="P20" i="3"/>
  <c r="U20" i="3"/>
  <c r="X20" i="3"/>
  <c r="Y20" i="3"/>
  <c r="P21" i="3"/>
  <c r="U21" i="3"/>
  <c r="X21" i="3"/>
  <c r="Y21" i="3"/>
  <c r="P22" i="3"/>
  <c r="U22" i="3"/>
  <c r="X22" i="3"/>
  <c r="Y22" i="3"/>
  <c r="P23" i="3"/>
  <c r="U23" i="3"/>
  <c r="X23" i="3"/>
  <c r="Y23" i="3"/>
  <c r="P24" i="3"/>
  <c r="U24" i="3"/>
  <c r="X24" i="3"/>
  <c r="Y24" i="3"/>
  <c r="P25" i="3"/>
  <c r="U25" i="3"/>
  <c r="X25" i="3"/>
  <c r="Y25" i="3"/>
  <c r="P26" i="3"/>
  <c r="U26" i="3"/>
  <c r="X26" i="3"/>
  <c r="Y26" i="3"/>
  <c r="P27" i="3"/>
  <c r="U27" i="3"/>
  <c r="X27" i="3"/>
  <c r="Y27" i="3"/>
  <c r="P28" i="3"/>
  <c r="U28" i="3"/>
  <c r="X28" i="3"/>
  <c r="Y28" i="3"/>
  <c r="P29" i="3"/>
  <c r="U29" i="3"/>
  <c r="X29" i="3"/>
  <c r="Y29" i="3"/>
  <c r="P30" i="3"/>
  <c r="U30" i="3"/>
  <c r="X30" i="3"/>
  <c r="Y30" i="3"/>
  <c r="P31" i="3"/>
  <c r="U31" i="3"/>
  <c r="X31" i="3"/>
  <c r="Y31" i="3"/>
  <c r="AD9" i="3"/>
  <c r="AE9" i="3"/>
  <c r="AF9" i="3"/>
  <c r="AG9" i="3"/>
  <c r="AF8" i="3"/>
  <c r="AG8" i="3"/>
  <c r="AF7" i="3"/>
  <c r="AG7" i="3"/>
  <c r="P7" i="3"/>
  <c r="U7" i="3"/>
  <c r="AD8" i="3"/>
  <c r="AE8" i="3"/>
  <c r="AD7" i="3"/>
  <c r="AE7" i="3"/>
  <c r="U4" i="3"/>
  <c r="T93" i="3"/>
  <c r="V93" i="3"/>
  <c r="W93" i="3"/>
  <c r="T92" i="3"/>
  <c r="V92" i="3"/>
  <c r="W92" i="3"/>
  <c r="T88" i="3"/>
  <c r="V88" i="3"/>
  <c r="W88" i="3"/>
  <c r="T84" i="3"/>
  <c r="V84" i="3"/>
  <c r="W84" i="3"/>
  <c r="R4" i="3"/>
  <c r="T9" i="3"/>
  <c r="T101" i="3"/>
  <c r="V101" i="3"/>
  <c r="W101" i="3"/>
  <c r="T94" i="3"/>
  <c r="V94" i="3"/>
  <c r="W94" i="3"/>
  <c r="T91" i="3"/>
  <c r="V91" i="3"/>
  <c r="W91" i="3"/>
  <c r="T87" i="3"/>
  <c r="V87" i="3"/>
  <c r="W87" i="3"/>
  <c r="P4" i="3"/>
  <c r="S4" i="3"/>
  <c r="T105" i="3"/>
  <c r="V105" i="3"/>
  <c r="W105" i="3"/>
  <c r="T102" i="3"/>
  <c r="V102" i="3"/>
  <c r="W102" i="3"/>
  <c r="T100" i="3"/>
  <c r="V100" i="3"/>
  <c r="W100" i="3"/>
  <c r="T99" i="3"/>
  <c r="V99" i="3"/>
  <c r="W99" i="3"/>
  <c r="T98" i="3"/>
  <c r="V98" i="3"/>
  <c r="W98" i="3"/>
  <c r="T97" i="3"/>
  <c r="V97" i="3"/>
  <c r="W97" i="3"/>
  <c r="T82" i="3"/>
  <c r="V82" i="3"/>
  <c r="W82" i="3"/>
  <c r="T81" i="3"/>
  <c r="V81" i="3"/>
  <c r="W81" i="3"/>
  <c r="T78" i="3"/>
  <c r="V78" i="3"/>
  <c r="W78" i="3"/>
  <c r="T77" i="3"/>
  <c r="V77" i="3"/>
  <c r="W77" i="3"/>
  <c r="T74" i="3"/>
  <c r="V74" i="3"/>
  <c r="W74" i="3"/>
  <c r="T73" i="3"/>
  <c r="V73" i="3"/>
  <c r="W73" i="3"/>
  <c r="T70" i="3"/>
  <c r="V70" i="3"/>
  <c r="W70" i="3"/>
  <c r="T69" i="3"/>
  <c r="V69" i="3"/>
  <c r="W69" i="3"/>
  <c r="T66" i="3"/>
  <c r="V66" i="3"/>
  <c r="W66" i="3"/>
  <c r="T65" i="3"/>
  <c r="V65" i="3"/>
  <c r="W65" i="3"/>
  <c r="T62" i="3"/>
  <c r="V62" i="3"/>
  <c r="W62" i="3"/>
  <c r="T61" i="3"/>
  <c r="V61" i="3"/>
  <c r="W61" i="3"/>
  <c r="T58" i="3"/>
  <c r="V58" i="3"/>
  <c r="W58" i="3"/>
  <c r="T57" i="3"/>
  <c r="V57" i="3"/>
  <c r="W57" i="3"/>
  <c r="T54" i="3"/>
  <c r="V54" i="3"/>
  <c r="W54" i="3"/>
  <c r="T53" i="3"/>
  <c r="V53" i="3"/>
  <c r="W53" i="3"/>
  <c r="T50" i="3"/>
  <c r="V50" i="3"/>
  <c r="W50" i="3"/>
  <c r="T49" i="3"/>
  <c r="V49" i="3"/>
  <c r="W49" i="3"/>
  <c r="T46" i="3"/>
  <c r="V46" i="3"/>
  <c r="W46" i="3"/>
  <c r="T45" i="3"/>
  <c r="V45" i="3"/>
  <c r="W45" i="3"/>
  <c r="T42" i="3"/>
  <c r="V42" i="3"/>
  <c r="W42" i="3"/>
  <c r="T41" i="3"/>
  <c r="V41" i="3"/>
  <c r="W41" i="3"/>
  <c r="T38" i="3"/>
  <c r="V38" i="3"/>
  <c r="W38" i="3"/>
  <c r="T37" i="3"/>
  <c r="V37" i="3"/>
  <c r="W37" i="3"/>
  <c r="T34" i="3"/>
  <c r="V34" i="3"/>
  <c r="W34" i="3"/>
  <c r="T33" i="3"/>
  <c r="V33" i="3"/>
  <c r="W33" i="3"/>
  <c r="T83" i="3"/>
  <c r="V83" i="3"/>
  <c r="W83" i="3"/>
  <c r="T80" i="3"/>
  <c r="V80" i="3"/>
  <c r="W80" i="3"/>
  <c r="T79" i="3"/>
  <c r="V79" i="3"/>
  <c r="W79" i="3"/>
  <c r="T76" i="3"/>
  <c r="V76" i="3"/>
  <c r="W76" i="3"/>
  <c r="T75" i="3"/>
  <c r="V75" i="3"/>
  <c r="W75" i="3"/>
  <c r="T72" i="3"/>
  <c r="V72" i="3"/>
  <c r="W72" i="3"/>
  <c r="T71" i="3"/>
  <c r="V71" i="3"/>
  <c r="W71" i="3"/>
  <c r="T68" i="3"/>
  <c r="V68" i="3"/>
  <c r="W68" i="3"/>
  <c r="T67" i="3"/>
  <c r="V67" i="3"/>
  <c r="W67" i="3"/>
  <c r="T64" i="3"/>
  <c r="V64" i="3"/>
  <c r="W64" i="3"/>
  <c r="T63" i="3"/>
  <c r="V63" i="3"/>
  <c r="W63" i="3"/>
  <c r="T60" i="3"/>
  <c r="V60" i="3"/>
  <c r="W60" i="3"/>
  <c r="T59" i="3"/>
  <c r="V59" i="3"/>
  <c r="W59" i="3"/>
  <c r="T56" i="3"/>
  <c r="V56" i="3"/>
  <c r="W56" i="3"/>
  <c r="T55" i="3"/>
  <c r="V55" i="3"/>
  <c r="W55" i="3"/>
  <c r="T52" i="3"/>
  <c r="V52" i="3"/>
  <c r="W52" i="3"/>
  <c r="T51" i="3"/>
  <c r="V51" i="3"/>
  <c r="W51" i="3"/>
  <c r="T48" i="3"/>
  <c r="V48" i="3"/>
  <c r="W48" i="3"/>
  <c r="T47" i="3"/>
  <c r="V47" i="3"/>
  <c r="W47" i="3"/>
  <c r="T44" i="3"/>
  <c r="V44" i="3"/>
  <c r="W44" i="3"/>
  <c r="T43" i="3"/>
  <c r="V43" i="3"/>
  <c r="W43" i="3"/>
  <c r="T40" i="3"/>
  <c r="V40" i="3"/>
  <c r="W40" i="3"/>
  <c r="T39" i="3"/>
  <c r="V39" i="3"/>
  <c r="W39" i="3"/>
  <c r="T36" i="3"/>
  <c r="V36" i="3"/>
  <c r="W36" i="3"/>
  <c r="T35" i="3"/>
  <c r="V35" i="3"/>
  <c r="W35" i="3"/>
  <c r="T32" i="3"/>
  <c r="V32" i="3"/>
  <c r="W32" i="3"/>
  <c r="T104" i="3"/>
  <c r="V104" i="3"/>
  <c r="W104" i="3"/>
  <c r="T103" i="3"/>
  <c r="V103" i="3"/>
  <c r="W103" i="3"/>
  <c r="T96" i="3"/>
  <c r="V96" i="3"/>
  <c r="W96" i="3"/>
  <c r="T95" i="3"/>
  <c r="V95" i="3"/>
  <c r="W95" i="3"/>
  <c r="T31" i="3"/>
  <c r="V31" i="3"/>
  <c r="W31" i="3"/>
  <c r="T29" i="3"/>
  <c r="V29" i="3"/>
  <c r="W29" i="3"/>
  <c r="T27" i="3"/>
  <c r="V27" i="3"/>
  <c r="W27" i="3"/>
  <c r="T25" i="3"/>
  <c r="V25" i="3"/>
  <c r="W25" i="3"/>
  <c r="T23" i="3"/>
  <c r="V23" i="3"/>
  <c r="W23" i="3"/>
  <c r="T21" i="3"/>
  <c r="V21" i="3"/>
  <c r="W21" i="3"/>
  <c r="T19" i="3"/>
  <c r="V19" i="3"/>
  <c r="W19" i="3"/>
  <c r="T17" i="3"/>
  <c r="V17" i="3"/>
  <c r="W17" i="3"/>
  <c r="T15" i="3"/>
  <c r="V15" i="3"/>
  <c r="W15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AA9" i="3"/>
  <c r="AA8" i="3"/>
  <c r="AB8" i="3"/>
  <c r="AA7" i="3"/>
  <c r="AC7" i="3"/>
  <c r="J7" i="3"/>
  <c r="F7" i="3"/>
  <c r="F4" i="3"/>
  <c r="T4" i="3"/>
  <c r="AC9" i="3"/>
  <c r="J9" i="3"/>
  <c r="AB9" i="3"/>
  <c r="I8" i="3"/>
  <c r="AB7" i="3"/>
  <c r="AC8" i="3"/>
  <c r="J8" i="3"/>
  <c r="I9" i="3"/>
  <c r="V9" i="3"/>
  <c r="W9" i="3"/>
  <c r="X9" i="3"/>
  <c r="Y9" i="3"/>
  <c r="X8" i="3"/>
  <c r="Y8" i="3"/>
  <c r="I7" i="3"/>
  <c r="X7" i="3"/>
  <c r="V7" i="3"/>
  <c r="V8" i="3"/>
  <c r="W8" i="3"/>
  <c r="X4" i="3"/>
  <c r="V4" i="3"/>
  <c r="W7" i="3"/>
  <c r="W4" i="3"/>
  <c r="M2" i="3"/>
  <c r="Y7" i="3"/>
  <c r="Y4" i="3"/>
  <c r="M3" i="3"/>
</calcChain>
</file>

<file path=xl/sharedStrings.xml><?xml version="1.0" encoding="utf-8"?>
<sst xmlns="http://schemas.openxmlformats.org/spreadsheetml/2006/main" count="1367" uniqueCount="586">
  <si>
    <t>From</t>
  </si>
  <si>
    <t>to</t>
  </si>
  <si>
    <t>% Regulaton</t>
  </si>
  <si>
    <t>Cable Route</t>
  </si>
  <si>
    <t>Cable Length</t>
  </si>
  <si>
    <t>Supply Voltage</t>
  </si>
  <si>
    <t xml:space="preserve"> Length (Mt)</t>
  </si>
  <si>
    <t>Rea.of Cable (X)  (Ω/Km)</t>
  </si>
  <si>
    <t>Total Load (Kw)</t>
  </si>
  <si>
    <t>Res.of Cable (R) (Ω/Km)</t>
  </si>
  <si>
    <t>Nominal Conductor Area (Sq.mm)</t>
  </si>
  <si>
    <t>Aluminium</t>
  </si>
  <si>
    <t>Copper</t>
  </si>
  <si>
    <t>Aluminum</t>
  </si>
  <si>
    <t xml:space="preserve">Short Circuit Current Rating for 1Sec.duration in K. Amps  </t>
  </si>
  <si>
    <t>Resi</t>
  </si>
  <si>
    <t>React</t>
  </si>
  <si>
    <t>Air</t>
  </si>
  <si>
    <t>Amp</t>
  </si>
  <si>
    <t xml:space="preserve"> —  </t>
  </si>
  <si>
    <t xml:space="preserve"> 39  </t>
  </si>
  <si>
    <t xml:space="preserve"> 35  </t>
  </si>
  <si>
    <t xml:space="preserve"> 0.304  </t>
  </si>
  <si>
    <t xml:space="preserve"> 0.460  </t>
  </si>
  <si>
    <t xml:space="preserve"> 47  </t>
  </si>
  <si>
    <t xml:space="preserve"> 45  </t>
  </si>
  <si>
    <t xml:space="preserve"> 0.376  </t>
  </si>
  <si>
    <t xml:space="preserve"> 0.572  </t>
  </si>
  <si>
    <t xml:space="preserve"> 44  </t>
  </si>
  <si>
    <t xml:space="preserve"> 0.456  </t>
  </si>
  <si>
    <t xml:space="preserve"> 0.690  </t>
  </si>
  <si>
    <t xml:space="preserve"> 60  </t>
  </si>
  <si>
    <t xml:space="preserve"> 59  </t>
  </si>
  <si>
    <t xml:space="preserve"> 57  </t>
  </si>
  <si>
    <t xml:space="preserve"> 0.564  </t>
  </si>
  <si>
    <t xml:space="preserve"> 0.858  </t>
  </si>
  <si>
    <t xml:space="preserve"> 51  </t>
  </si>
  <si>
    <t xml:space="preserve"> 64  </t>
  </si>
  <si>
    <t xml:space="preserve"> 0.760  </t>
  </si>
  <si>
    <t xml:space="preserve"> 1.150  </t>
  </si>
  <si>
    <t xml:space="preserve"> 61  </t>
  </si>
  <si>
    <t xml:space="preserve"> 78  </t>
  </si>
  <si>
    <t xml:space="preserve"> 77  </t>
  </si>
  <si>
    <t xml:space="preserve"> 0.940  </t>
  </si>
  <si>
    <t xml:space="preserve"> 1.430  </t>
  </si>
  <si>
    <t xml:space="preserve"> 66  </t>
  </si>
  <si>
    <t xml:space="preserve"> 85  </t>
  </si>
  <si>
    <t xml:space="preserve"> 83  </t>
  </si>
  <si>
    <t xml:space="preserve"> 82  </t>
  </si>
  <si>
    <t xml:space="preserve"> 1.220  </t>
  </si>
  <si>
    <t xml:space="preserve"> 1.84  </t>
  </si>
  <si>
    <t xml:space="preserve"> 106  </t>
  </si>
  <si>
    <t xml:space="preserve"> 1.504  </t>
  </si>
  <si>
    <t xml:space="preserve"> 2.288  </t>
  </si>
  <si>
    <t xml:space="preserve"> 86  </t>
  </si>
  <si>
    <t xml:space="preserve"> 84  </t>
  </si>
  <si>
    <t xml:space="preserve"> 110  </t>
  </si>
  <si>
    <t xml:space="preserve"> 1.900  </t>
  </si>
  <si>
    <t xml:space="preserve"> 2.88  </t>
  </si>
  <si>
    <t xml:space="preserve"> 99  </t>
  </si>
  <si>
    <t xml:space="preserve"> 90  </t>
  </si>
  <si>
    <t xml:space="preserve"> 115  </t>
  </si>
  <si>
    <t xml:space="preserve"> 130  </t>
  </si>
  <si>
    <t xml:space="preserve"> 145  </t>
  </si>
  <si>
    <t xml:space="preserve"> 2.350  </t>
  </si>
  <si>
    <t xml:space="preserve"> 3.575  </t>
  </si>
  <si>
    <t xml:space="preserve"> 105  </t>
  </si>
  <si>
    <t xml:space="preserve"> 125  </t>
  </si>
  <si>
    <t xml:space="preserve"> 2.660  </t>
  </si>
  <si>
    <t xml:space="preserve"> 4.03  </t>
  </si>
  <si>
    <t xml:space="preserve"> 117  </t>
  </si>
  <si>
    <t xml:space="preserve"> 135  </t>
  </si>
  <si>
    <t xml:space="preserve"> 155  </t>
  </si>
  <si>
    <t xml:space="preserve"> 140  </t>
  </si>
  <si>
    <t xml:space="preserve"> 175  </t>
  </si>
  <si>
    <t xml:space="preserve"> 3.290  </t>
  </si>
  <si>
    <t xml:space="preserve"> 5.005  </t>
  </si>
  <si>
    <t xml:space="preserve"> 120  </t>
  </si>
  <si>
    <t xml:space="preserve"> 150  </t>
  </si>
  <si>
    <t xml:space="preserve"> 165  </t>
  </si>
  <si>
    <t xml:space="preserve"> 3.800  </t>
  </si>
  <si>
    <t xml:space="preserve"> 5.75  </t>
  </si>
  <si>
    <t xml:space="preserve"> 170  </t>
  </si>
  <si>
    <t xml:space="preserve"> 185  </t>
  </si>
  <si>
    <t xml:space="preserve"> 215  </t>
  </si>
  <si>
    <t xml:space="preserve"> 4.700  </t>
  </si>
  <si>
    <t xml:space="preserve"> 7.150  </t>
  </si>
  <si>
    <t xml:space="preserve"> 190  </t>
  </si>
  <si>
    <t xml:space="preserve"> 205  </t>
  </si>
  <si>
    <t xml:space="preserve"> 5.320  </t>
  </si>
  <si>
    <t xml:space="preserve"> 8.05  </t>
  </si>
  <si>
    <t xml:space="preserve"> 210  </t>
  </si>
  <si>
    <t xml:space="preserve"> 200  </t>
  </si>
  <si>
    <t xml:space="preserve"> 270  </t>
  </si>
  <si>
    <t xml:space="preserve"> 6.580  </t>
  </si>
  <si>
    <t xml:space="preserve"> 10.01  </t>
  </si>
  <si>
    <t xml:space="preserve"> 220  </t>
  </si>
  <si>
    <t xml:space="preserve"> 245  </t>
  </si>
  <si>
    <t xml:space="preserve"> 7.220  </t>
  </si>
  <si>
    <t xml:space="preserve"> 10.90  </t>
  </si>
  <si>
    <t xml:space="preserve"> 255  </t>
  </si>
  <si>
    <t xml:space="preserve"> 265  </t>
  </si>
  <si>
    <t xml:space="preserve"> 235  </t>
  </si>
  <si>
    <t xml:space="preserve"> 330  </t>
  </si>
  <si>
    <t xml:space="preserve"> 8.930  </t>
  </si>
  <si>
    <t xml:space="preserve"> 13.59  </t>
  </si>
  <si>
    <t xml:space="preserve"> 195  </t>
  </si>
  <si>
    <t xml:space="preserve"> 250  </t>
  </si>
  <si>
    <t xml:space="preserve"> 280  </t>
  </si>
  <si>
    <t xml:space="preserve"> 9.120  </t>
  </si>
  <si>
    <t xml:space="preserve"> 13.80  </t>
  </si>
  <si>
    <t xml:space="preserve"> 230  </t>
  </si>
  <si>
    <t xml:space="preserve"> 300  </t>
  </si>
  <si>
    <t xml:space="preserve"> 380  </t>
  </si>
  <si>
    <t xml:space="preserve"> 11.28  </t>
  </si>
  <si>
    <t xml:space="preserve"> 17.16  </t>
  </si>
  <si>
    <t xml:space="preserve"> 320  </t>
  </si>
  <si>
    <t xml:space="preserve"> 11.40  </t>
  </si>
  <si>
    <t xml:space="preserve"> 17.30  </t>
  </si>
  <si>
    <t xml:space="preserve"> 342  </t>
  </si>
  <si>
    <t xml:space="preserve"> 335  </t>
  </si>
  <si>
    <t xml:space="preserve"> 430  </t>
  </si>
  <si>
    <t xml:space="preserve"> 14.10  </t>
  </si>
  <si>
    <t xml:space="preserve"> 21.45  </t>
  </si>
  <si>
    <t xml:space="preserve"> 240  </t>
  </si>
  <si>
    <t xml:space="preserve"> 290  </t>
  </si>
  <si>
    <t xml:space="preserve"> 305  </t>
  </si>
  <si>
    <t xml:space="preserve"> 260  </t>
  </si>
  <si>
    <t xml:space="preserve"> 370  </t>
  </si>
  <si>
    <t xml:space="preserve"> 21.30  </t>
  </si>
  <si>
    <t xml:space="preserve"> 295  </t>
  </si>
  <si>
    <t xml:space="preserve"> 385  </t>
  </si>
  <si>
    <t xml:space="preserve"> 495  </t>
  </si>
  <si>
    <t xml:space="preserve"> 17.39  </t>
  </si>
  <si>
    <t xml:space="preserve"> 26.46  </t>
  </si>
  <si>
    <t xml:space="preserve"> 345  </t>
  </si>
  <si>
    <t xml:space="preserve"> 425  </t>
  </si>
  <si>
    <t xml:space="preserve"> 18.20  </t>
  </si>
  <si>
    <t xml:space="preserve"> 27.30  </t>
  </si>
  <si>
    <t xml:space="preserve"> 340  </t>
  </si>
  <si>
    <t xml:space="preserve"> 450  </t>
  </si>
  <si>
    <t xml:space="preserve"> 435  </t>
  </si>
  <si>
    <t xml:space="preserve"> 590  </t>
  </si>
  <si>
    <t xml:space="preserve"> 22.56  </t>
  </si>
  <si>
    <t xml:space="preserve"> 34.32  </t>
  </si>
  <si>
    <t xml:space="preserve"> 375  </t>
  </si>
  <si>
    <t xml:space="preserve"> 475  </t>
  </si>
  <si>
    <t xml:space="preserve"> 34.50  </t>
  </si>
  <si>
    <t xml:space="preserve"> 390  </t>
  </si>
  <si>
    <t xml:space="preserve"> 519  </t>
  </si>
  <si>
    <t xml:space="preserve"> 670  </t>
  </si>
  <si>
    <t xml:space="preserve"> 28.20  </t>
  </si>
  <si>
    <t xml:space="preserve"> 42.90  </t>
  </si>
  <si>
    <t xml:space="preserve"> 325  </t>
  </si>
  <si>
    <t xml:space="preserve"> 275  </t>
  </si>
  <si>
    <t xml:space="preserve"> 400  </t>
  </si>
  <si>
    <t xml:space="preserve"> 550  </t>
  </si>
  <si>
    <t xml:space="preserve"> 30.40  </t>
  </si>
  <si>
    <t xml:space="preserve"> 46.00  </t>
  </si>
  <si>
    <t xml:space="preserve"> 605  </t>
  </si>
  <si>
    <t xml:space="preserve"> 480  </t>
  </si>
  <si>
    <t xml:space="preserve"> 780  </t>
  </si>
  <si>
    <t xml:space="preserve"> 37.60  </t>
  </si>
  <si>
    <t xml:space="preserve"> 57.20  </t>
  </si>
  <si>
    <t xml:space="preserve"> 355  </t>
  </si>
  <si>
    <t xml:space="preserve"> 38.00  </t>
  </si>
  <si>
    <t xml:space="preserve"> 57.50  </t>
  </si>
  <si>
    <t xml:space="preserve"> 500  </t>
  </si>
  <si>
    <t xml:space="preserve"> 700  </t>
  </si>
  <si>
    <t xml:space="preserve"> 610  </t>
  </si>
  <si>
    <t xml:space="preserve"> 530  </t>
  </si>
  <si>
    <t xml:space="preserve"> 900  </t>
  </si>
  <si>
    <t xml:space="preserve"> 47.00  </t>
  </si>
  <si>
    <t xml:space="preserve"> 71.50  </t>
  </si>
  <si>
    <t xml:space="preserve"> 470  </t>
  </si>
  <si>
    <t xml:space="preserve"> 660  </t>
  </si>
  <si>
    <t xml:space="preserve"> 47.90  </t>
  </si>
  <si>
    <t xml:space="preserve"> 72.50  </t>
  </si>
  <si>
    <t xml:space="preserve"> 809  </t>
  </si>
  <si>
    <t xml:space="preserve"> 680  </t>
  </si>
  <si>
    <t xml:space="preserve"> 1020  </t>
  </si>
  <si>
    <t xml:space="preserve"> 59.22  </t>
  </si>
  <si>
    <t xml:space="preserve"> 90.09  </t>
  </si>
  <si>
    <t xml:space="preserve"> 725  </t>
  </si>
  <si>
    <t xml:space="preserve"> 60.80  </t>
  </si>
  <si>
    <t xml:space="preserve"> 92.00  </t>
  </si>
  <si>
    <t xml:space="preserve"> 935  </t>
  </si>
  <si>
    <t xml:space="preserve"> 630  </t>
  </si>
  <si>
    <t xml:space="preserve"> 1140  </t>
  </si>
  <si>
    <t xml:space="preserve"> 75.20  </t>
  </si>
  <si>
    <t xml:space="preserve"> 114.40  </t>
  </si>
  <si>
    <t xml:space="preserve"> 870  </t>
  </si>
  <si>
    <t xml:space="preserve"> 76.00  </t>
  </si>
  <si>
    <t xml:space="preserve"> 115.00  </t>
  </si>
  <si>
    <t xml:space="preserve"> 570  </t>
  </si>
  <si>
    <t xml:space="preserve"> 1065  </t>
  </si>
  <si>
    <t xml:space="preserve"> 1250  </t>
  </si>
  <si>
    <t xml:space="preserve"> 94.00  </t>
  </si>
  <si>
    <t xml:space="preserve"> 143.00  </t>
  </si>
  <si>
    <t xml:space="preserve"> 27  </t>
  </si>
  <si>
    <t xml:space="preserve"> 30  </t>
  </si>
  <si>
    <t xml:space="preserve"> 40  </t>
  </si>
  <si>
    <t xml:space="preserve"> 50  </t>
  </si>
  <si>
    <t xml:space="preserve"> 70  </t>
  </si>
  <si>
    <t xml:space="preserve"> 53  </t>
  </si>
  <si>
    <t xml:space="preserve"> 67  </t>
  </si>
  <si>
    <t xml:space="preserve"> 1.840  </t>
  </si>
  <si>
    <t xml:space="preserve"> 1.50  </t>
  </si>
  <si>
    <t xml:space="preserve"> 2.29  </t>
  </si>
  <si>
    <t xml:space="preserve"> 2.880  </t>
  </si>
  <si>
    <t xml:space="preserve"> 2.35  </t>
  </si>
  <si>
    <t xml:space="preserve"> 3.58  </t>
  </si>
  <si>
    <t xml:space="preserve"> 4.030  </t>
  </si>
  <si>
    <t xml:space="preserve"> 3.29  </t>
  </si>
  <si>
    <t xml:space="preserve"> 5.01  </t>
  </si>
  <si>
    <t xml:space="preserve"> 5.750  </t>
  </si>
  <si>
    <t xml:space="preserve"> 4.70  </t>
  </si>
  <si>
    <t xml:space="preserve"> 7.15  </t>
  </si>
  <si>
    <t xml:space="preserve"> 180  </t>
  </si>
  <si>
    <t xml:space="preserve"> 8.050  </t>
  </si>
  <si>
    <t xml:space="preserve"> 176  </t>
  </si>
  <si>
    <t xml:space="preserve"> 6.58  </t>
  </si>
  <si>
    <t xml:space="preserve"> 221  </t>
  </si>
  <si>
    <t xml:space="preserve"> 8.93  </t>
  </si>
  <si>
    <t xml:space="preserve"> 258  </t>
  </si>
  <si>
    <t xml:space="preserve"> 17.300  </t>
  </si>
  <si>
    <t xml:space="preserve"> 294  </t>
  </si>
  <si>
    <t xml:space="preserve"> 315  </t>
  </si>
  <si>
    <t xml:space="preserve"> 350  </t>
  </si>
  <si>
    <t xml:space="preserve"> 21.280  </t>
  </si>
  <si>
    <t xml:space="preserve"> 339  </t>
  </si>
  <si>
    <t xml:space="preserve"> 410  </t>
  </si>
  <si>
    <t xml:space="preserve"> 27.600  </t>
  </si>
  <si>
    <t xml:space="preserve"> 402  </t>
  </si>
  <si>
    <t xml:space="preserve"> 510  </t>
  </si>
  <si>
    <t xml:space="preserve"> 365  </t>
  </si>
  <si>
    <t xml:space="preserve"> 465  </t>
  </si>
  <si>
    <t xml:space="preserve"> 22.80  </t>
  </si>
  <si>
    <t xml:space="preserve"> 34.500  </t>
  </si>
  <si>
    <t xml:space="preserve"> 461  </t>
  </si>
  <si>
    <t xml:space="preserve"> 420  </t>
  </si>
  <si>
    <t xml:space="preserve"> 46.000  </t>
  </si>
  <si>
    <t xml:space="preserve"> 542  </t>
  </si>
  <si>
    <t xml:space="preserve"> 520  </t>
  </si>
  <si>
    <t xml:space="preserve"> 440  </t>
  </si>
  <si>
    <t xml:space="preserve"> 540  </t>
  </si>
  <si>
    <t xml:space="preserve"> 57.500  </t>
  </si>
  <si>
    <t xml:space="preserve"> 624  </t>
  </si>
  <si>
    <t xml:space="preserve"> 580  </t>
  </si>
  <si>
    <t xml:space="preserve"> 750  </t>
  </si>
  <si>
    <t xml:space="preserve"> 785  </t>
  </si>
  <si>
    <t xml:space="preserve"> 72.550  </t>
  </si>
  <si>
    <t xml:space="preserve"> 723  </t>
  </si>
  <si>
    <t xml:space="preserve"> 875  </t>
  </si>
  <si>
    <t xml:space="preserve"> 23  </t>
  </si>
  <si>
    <t xml:space="preserve"> 52  </t>
  </si>
  <si>
    <t xml:space="preserve"> 10.900  </t>
  </si>
  <si>
    <t xml:space="preserve"> 13.800  </t>
  </si>
  <si>
    <t xml:space="preserve"> 21.300  </t>
  </si>
  <si>
    <t xml:space="preserve"> 675  </t>
  </si>
  <si>
    <t xml:space="preserve"> 72.500  </t>
  </si>
  <si>
    <t>.0.094</t>
  </si>
  <si>
    <t xml:space="preserve"> 1.90  </t>
  </si>
  <si>
    <t xml:space="preserve"> 2.66  </t>
  </si>
  <si>
    <t xml:space="preserve"> 3.80  </t>
  </si>
  <si>
    <t xml:space="preserve"> 5.32  </t>
  </si>
  <si>
    <t xml:space="preserve"> 7.22  </t>
  </si>
  <si>
    <t xml:space="preserve"> 9.12  </t>
  </si>
  <si>
    <t xml:space="preserve"> 27.60  </t>
  </si>
  <si>
    <t xml:space="preserve"> 11.400  </t>
  </si>
  <si>
    <t xml:space="preserve"> 14.100  </t>
  </si>
  <si>
    <t xml:space="preserve"> 18.200  </t>
  </si>
  <si>
    <t xml:space="preserve"> 22.800  </t>
  </si>
  <si>
    <t xml:space="preserve"> 30.400  </t>
  </si>
  <si>
    <t xml:space="preserve"> 38.000  </t>
  </si>
  <si>
    <t xml:space="preserve"> 47.900  </t>
  </si>
  <si>
    <t xml:space="preserve"> 5.00  </t>
  </si>
  <si>
    <t xml:space="preserve"> 395  </t>
  </si>
  <si>
    <t xml:space="preserve"> 600  </t>
  </si>
  <si>
    <t xml:space="preserve"> 790  </t>
  </si>
  <si>
    <t xml:space="preserve"> 730  </t>
  </si>
  <si>
    <t xml:space="preserve"> 910  </t>
  </si>
  <si>
    <t xml:space="preserve"> 840  </t>
  </si>
  <si>
    <t xml:space="preserve"> 1030  </t>
  </si>
  <si>
    <t xml:space="preserve"> 960  </t>
  </si>
  <si>
    <t xml:space="preserve"> 1070  </t>
  </si>
  <si>
    <t xml:space="preserve"> 650  </t>
  </si>
  <si>
    <t xml:space="preserve"> 90.10  </t>
  </si>
  <si>
    <t xml:space="preserve">Size of Cables </t>
  </si>
  <si>
    <t>Cable Details</t>
  </si>
  <si>
    <t>1cX4Sq.mm LT PVC (Up to 1.1KV)</t>
  </si>
  <si>
    <t>1cX6Sq.mm LT PVC (Up to 1.1KV)</t>
  </si>
  <si>
    <t>1cX10Sq.mm LT PVC (Up to 1.1KV)</t>
  </si>
  <si>
    <t>1cX16Sq.mm LT PVC (Up to 1.1KV)</t>
  </si>
  <si>
    <t>1cX25Sq.mm LT PVC (Up to 1.1KV)</t>
  </si>
  <si>
    <t>1cX35Sq.mm LT PVC (Up to 1.1KV)</t>
  </si>
  <si>
    <t>1cX50Sq.mm LT PVC (Up to 1.1KV)</t>
  </si>
  <si>
    <t>1cX70Sq.mm LT PVC (Up to 1.1KV)</t>
  </si>
  <si>
    <t>1cX95Sq.mm LT PVC (Up to 1.1KV)</t>
  </si>
  <si>
    <t>1cX120Sq.mm LT PVC (Up to 1.1KV)</t>
  </si>
  <si>
    <t>1cX150  Sq.mm LT PVC (Up to 1.1KV)</t>
  </si>
  <si>
    <t>1cX185  Sq.mm LT PVC (Up to 1.1KV)</t>
  </si>
  <si>
    <t>1cX240  Sq.mm LT PVC (Up to 1.1KV)</t>
  </si>
  <si>
    <t>1cX300  Sq.mm LT PVC (Up to 1.1KV)</t>
  </si>
  <si>
    <t>1cX400  Sq.mm LT PVC (Up to 1.1KV)</t>
  </si>
  <si>
    <t>1cX 500  Sq.mm LT PVC (Up to 1.1KV)</t>
  </si>
  <si>
    <t>1cX 630  Sq.mm LT PVC (Up to 1.1KV)</t>
  </si>
  <si>
    <t>1cX800  Sq.mm LT PVC (Up to 1.1KV)</t>
  </si>
  <si>
    <t>1cX1000  Sq.mm LT PVC (Up to 1.1KV)</t>
  </si>
  <si>
    <t>2cX1.5Sq.mm LT PVC (Up to 1.1KV)</t>
  </si>
  <si>
    <t>2cX2.5Sq.mm LT PVC (Up to 1.1KV)</t>
  </si>
  <si>
    <t>2cX4Sq.mm LT PVC (Up to 1.1KV)</t>
  </si>
  <si>
    <t xml:space="preserve"> 2cX 6  Sq.mm LT PVC (Up to 1.1KV)</t>
  </si>
  <si>
    <t>2cX10  Sq.mm LT PVC (Up to 1.1KV)</t>
  </si>
  <si>
    <t>2cX16  Sq.mm LT PVC (Up to 1.1KV)</t>
  </si>
  <si>
    <t>2cX25  Sq.mm LT PVC (Up to 1.1KV)</t>
  </si>
  <si>
    <t>2cX35  Sq.mm LT PVC (Up to 1.1KV)</t>
  </si>
  <si>
    <t>2cX50  Sq.mm LT PVC (Up to 1.1KV)</t>
  </si>
  <si>
    <t>2cX70  Sq.mm LT PVC (Up to 1.1KV)</t>
  </si>
  <si>
    <t>2cX95  Sq.mm LT PVC (Up to 1.1KV)</t>
  </si>
  <si>
    <t>2cX120  Sq.mm LT PVC (Up to 1.1KV)</t>
  </si>
  <si>
    <t>2cX150  Sq.mm LT PVC (Up to 1.1KV)</t>
  </si>
  <si>
    <t>2cX185  Sq.mm LT PVC (Up to 1.1KV)</t>
  </si>
  <si>
    <t>2cX240  Sq.mm LT PVC (Up to 1.1KV)</t>
  </si>
  <si>
    <t>2cX300  Sq.mm LT PVC (Up to 1.1KV)</t>
  </si>
  <si>
    <t>2cX400  Sq.mm LT PVC (Up to 1.1KV)</t>
  </si>
  <si>
    <t>2cX500  Sq.mm LT PVC (Up to 1.1KV)</t>
  </si>
  <si>
    <t>2cX630  Sq.mm LT PVC (Up to 1.1KV)</t>
  </si>
  <si>
    <t>3cX1.5Sq.mm LT PVC (Up to 1.1KV)</t>
  </si>
  <si>
    <t>3cX2.5Sq.mm LT PVC (Up to 1.1KV)</t>
  </si>
  <si>
    <t>3cX4Sq.mm LT PVC (Up to 1.1KV)</t>
  </si>
  <si>
    <t>3cX 6  Sq.mm LT PVC (Up to 1.1KV)</t>
  </si>
  <si>
    <t>3cX 10  Sq.mm LT PVC (Up to 1.1KV)</t>
  </si>
  <si>
    <t>3cX 16  Sq.mm LT PVC (Up to 1.1KV)</t>
  </si>
  <si>
    <t>3cX 25  Sq.mm LT PVC (Up to 1.1KV)</t>
  </si>
  <si>
    <t>3cX 35  Sq.mm LT PVC (Up to 1.1KV)</t>
  </si>
  <si>
    <t>3cX 50  Sq.mm LT PVC (Up to 1.1KV)</t>
  </si>
  <si>
    <t>3cX 70  Sq.mm LT PVC (Up to 1.1KV)</t>
  </si>
  <si>
    <t>3cX 95  Sq.mm LT PVC (Up to 1.1KV)</t>
  </si>
  <si>
    <t>3cX 120  Sq.mm LT PVC (Up to 1.1KV)</t>
  </si>
  <si>
    <t>3cX 150  Sq.mm LT PVC (Up to 1.1KV)</t>
  </si>
  <si>
    <t>3cX 185  Sq.mm LT PVC (Up to 1.1KV)</t>
  </si>
  <si>
    <t>3cX 240  Sq.mm LT PVC (Up to 1.1KV)</t>
  </si>
  <si>
    <t>3cX 300  Sq.mm LT PVC (Up to 1.1KV)</t>
  </si>
  <si>
    <t>3cX 400  Sq.mm LT PVC (Up to 1.1KV)</t>
  </si>
  <si>
    <t>3cX 500  Sq.mm LT PVC (Up to 1.1KV)</t>
  </si>
  <si>
    <t>3cX 630  Sq.mm LT PVC (Up to 1.1KV)</t>
  </si>
  <si>
    <t xml:space="preserve"> 3.5X16Sq.mm LT PVC (Up to 1.1KV)</t>
  </si>
  <si>
    <t xml:space="preserve"> 3.5X25Sq.mm LT PVC (Up to 1.1KV)</t>
  </si>
  <si>
    <t xml:space="preserve"> 3.5X35Sq.mm LT PVC (Up to 1.1KV)</t>
  </si>
  <si>
    <t xml:space="preserve"> 3.5X50Sq.mm LT PVC (Up to 1.1KV)</t>
  </si>
  <si>
    <t xml:space="preserve"> 3.5X70Sq.mm LT PVC (Up to 1.1KV)</t>
  </si>
  <si>
    <t xml:space="preserve"> 3.5X95Sq.mm LT PVC (Up to 1.1KV)</t>
  </si>
  <si>
    <t xml:space="preserve"> 3.5X120Sq.mm LT PVC (Up to 1.1KV)</t>
  </si>
  <si>
    <t xml:space="preserve"> 3.5X150Sq.mm LT PVC (Up to 1.1KV)</t>
  </si>
  <si>
    <t xml:space="preserve"> 3.5X185Sq.mm LT PVC (Up to 1.1KV)</t>
  </si>
  <si>
    <t xml:space="preserve"> 3.5X240Sq.mm LT PVC (Up to 1.1KV)</t>
  </si>
  <si>
    <t xml:space="preserve"> 3.5X300Sq.mm LT PVC (Up to 1.1KV)</t>
  </si>
  <si>
    <t xml:space="preserve"> 3.5X400Sq.mm LT PVC (Up to 1.1KV)</t>
  </si>
  <si>
    <t xml:space="preserve"> 3.5X500Sq.mm LT PVC (Up to 1.1KV)</t>
  </si>
  <si>
    <t xml:space="preserve"> 3.5X630Sq.mm LT PVC (Up to 1.1KV)</t>
  </si>
  <si>
    <t>4cX 1.5Sq.mm LT PVC (Up to 1.1KV)</t>
  </si>
  <si>
    <t>4cX 2.5Sq.mm LT PVC (Up to 1.1KV)</t>
  </si>
  <si>
    <t>4cX4  Sq.mm LT PVC (Up to 1.1KV)</t>
  </si>
  <si>
    <t>4cX 6  Sq.mm LT PVC (Up to 1.1KV)</t>
  </si>
  <si>
    <t>4cX 10  Sq.mm LT PVC (Up to 1.1KV)</t>
  </si>
  <si>
    <t>4cX16  Sq.mm LT PVC (Up to 1.1KV)</t>
  </si>
  <si>
    <t>4cX 25  Sq.mm LT PVC (Up to 1.1KV)</t>
  </si>
  <si>
    <t>4cX35  Sq.mm LT PVC (Up to 1.1KV)</t>
  </si>
  <si>
    <t>4cX 50  Sq.mm LT PVC (Up to 1.1KV)</t>
  </si>
  <si>
    <t>4cX70  Sq.mm LT PVC (Up to 1.1KV)</t>
  </si>
  <si>
    <t>4cX 95  Sq.mm LT PVC (Up to 1.1KV)</t>
  </si>
  <si>
    <t>4cX 120  Sq.mm LT PVC (Up to 1.1KV)</t>
  </si>
  <si>
    <t>4cX 150  Sq.mm LT PVC (Up to 1.1KV)</t>
  </si>
  <si>
    <t>4cX 185  Sq.mm LT PVC (Up to 1.1KV)</t>
  </si>
  <si>
    <t>4cX 240  Sq.mm LT PVC (Up to 1.1KV)</t>
  </si>
  <si>
    <t>4cX 300  Sq.mm LT PVC (Up to 1.1KV)</t>
  </si>
  <si>
    <t>4cX 400  Sq.mm LT PVC (Up to 1.1KV)</t>
  </si>
  <si>
    <t>4cX 500  Sq.mm LT PVC (Up to 1.1KV)</t>
  </si>
  <si>
    <t>4cX 630  Sq.mm LT PVC (Up to 1.1KV)</t>
  </si>
  <si>
    <t>1cX4Sq.mm LT XLPE (Up to 1.1KV)</t>
  </si>
  <si>
    <t>1cX6Sq.mm LT XLPE (Up to 1.1KV)</t>
  </si>
  <si>
    <t>1cX10Sq.mm LT XLPE (Up to 1.1KV)</t>
  </si>
  <si>
    <t>1cX16Sq.mm LT XLPE (Up to 1.1KV)</t>
  </si>
  <si>
    <t>1cX25Sq.mm LT XLPE (Up to 1.1KV)</t>
  </si>
  <si>
    <t>1cX35Sq.mm LT XLPE (Up to 1.1KV)</t>
  </si>
  <si>
    <t>1cX50Sq.mm LT XLPE (Up to 1.1KV)</t>
  </si>
  <si>
    <t>1cX70Sq.mm LT XLPE (Up to 1.1KV)</t>
  </si>
  <si>
    <t>1cX95Sq.mm LT XLPE (Up to 1.1KV)</t>
  </si>
  <si>
    <t>1cX120Sq.mm LT XLPE (Up to 1.1KV)</t>
  </si>
  <si>
    <t>1cX150  Sq.mm LT XLPE (Up to 1.1KV)</t>
  </si>
  <si>
    <t>1cX185  Sq.mm LT XLPE (Up to 1.1KV)</t>
  </si>
  <si>
    <t>1cX240  Sq.mm LT XLPE (Up to 1.1KV)</t>
  </si>
  <si>
    <t>1cX300  Sq.mm LT XLPE (Up to 1.1KV)</t>
  </si>
  <si>
    <t>1cX400  Sq.mm LT XLPE (Up to 1.1KV)</t>
  </si>
  <si>
    <t>1cX 500  Sq.mm LT XLPE (Up to 1.1KV)</t>
  </si>
  <si>
    <t>1cX 630  Sq.mm LT XLPE (Up to 1.1KV)</t>
  </si>
  <si>
    <t>1cX800  Sq.mm LT XLPE (Up to 1.1KV)</t>
  </si>
  <si>
    <t>1cX1000  Sq.mm LT XLPE (Up to 1.1KV)</t>
  </si>
  <si>
    <t>2cX1.5Sq.mm LT XLPE (Up to 1.1KV)</t>
  </si>
  <si>
    <t>2cX2.5Sq.mm LT XLPE (Up to 1.1KV)</t>
  </si>
  <si>
    <t>2cX4Sq.mm LT XLPE (Up to 1.1KV)</t>
  </si>
  <si>
    <t xml:space="preserve"> 2cX 6  Sq.mm LT XLPE (Up to 1.1KV)</t>
  </si>
  <si>
    <t>2cX10  Sq.mm LT XLPE (Up to 1.1KV)</t>
  </si>
  <si>
    <t>2cX16  Sq.mm LT XLPE (Up to 1.1KV)</t>
  </si>
  <si>
    <t>2cX25  Sq.mm LT XLPE (Up to 1.1KV)</t>
  </si>
  <si>
    <t>2cX35  Sq.mm LT XLPE (Up to 1.1KV)</t>
  </si>
  <si>
    <t>2cX50  Sq.mm LT XLPE (Up to 1.1KV)</t>
  </si>
  <si>
    <t>2cX70  Sq.mm LT XLPE (Up to 1.1KV)</t>
  </si>
  <si>
    <t>2cX95  Sq.mm LT XLPE (Up to 1.1KV)</t>
  </si>
  <si>
    <t>2cX120  Sq.mm LT XLPE (Up to 1.1KV)</t>
  </si>
  <si>
    <t>2cX150  Sq.mm LT XLPE (Up to 1.1KV)</t>
  </si>
  <si>
    <t>2cX185  Sq.mm LT XLPE (Up to 1.1KV)</t>
  </si>
  <si>
    <t>2cX240  Sq.mm LT XLPE (Up to 1.1KV)</t>
  </si>
  <si>
    <t>2cX300  Sq.mm LT XLPE (Up to 1.1KV)</t>
  </si>
  <si>
    <t>2cX400  Sq.mm LT XLPE (Up to 1.1KV)</t>
  </si>
  <si>
    <t>2cX500  Sq.mm LT XLPE (Up to 1.1KV)</t>
  </si>
  <si>
    <t>2cX630  Sq.mm LT XLPE (Up to 1.1KV)</t>
  </si>
  <si>
    <t>3cX1.5Sq.mm LT XLPE (Up to 1.1KV)</t>
  </si>
  <si>
    <t>3cX2.5Sq.mm LT XLPE (Up to 1.1KV)</t>
  </si>
  <si>
    <t>3cX4Sq.mm LT XLPE (Up to 1.1KV)</t>
  </si>
  <si>
    <t>3cX 6  Sq.mm LT XLPE (Up to 1.1KV)</t>
  </si>
  <si>
    <t>3cX 10  Sq.mm LT XLPE (Up to 1.1KV)</t>
  </si>
  <si>
    <t>3cX 16  Sq.mm LT XLPE (Up to 1.1KV)</t>
  </si>
  <si>
    <t>3cX 25  Sq.mm LT XLPE (Up to 1.1KV)</t>
  </si>
  <si>
    <t>3cX 35  Sq.mm LT XLPE (Up to 1.1KV)</t>
  </si>
  <si>
    <t>3cX 50  Sq.mm LT XLPE (Up to 1.1KV)</t>
  </si>
  <si>
    <t>3cX 70  Sq.mm LT XLPE (Up to 1.1KV)</t>
  </si>
  <si>
    <t>3cX 95  Sq.mm LT XLPE (Up to 1.1KV)</t>
  </si>
  <si>
    <t>3cX 120  Sq.mm LT XLPE (Up to 1.1KV)</t>
  </si>
  <si>
    <t>3cX 150  Sq.mm LT XLPE (Up to 1.1KV)</t>
  </si>
  <si>
    <t>3cX 185  Sq.mm LT XLPE (Up to 1.1KV)</t>
  </si>
  <si>
    <t>3cX 240  Sq.mm LT XLPE (Up to 1.1KV)</t>
  </si>
  <si>
    <t>3cX 300  Sq.mm LT XLPE (Up to 1.1KV)</t>
  </si>
  <si>
    <t>3cX 400  Sq.mm LT XLPE (Up to 1.1KV)</t>
  </si>
  <si>
    <t>3cX 500  Sq.mm LT XLPE (Up to 1.1KV)</t>
  </si>
  <si>
    <t>3cX 630  Sq.mm LT XLPE (Up to 1.1KV)</t>
  </si>
  <si>
    <t xml:space="preserve"> 3.5X16Sq.mm LT XLPE (Up to 1.1KV)</t>
  </si>
  <si>
    <t xml:space="preserve"> 3.5X25Sq.mm LT XLPE (Up to 1.1KV)</t>
  </si>
  <si>
    <t xml:space="preserve"> 3.5X35Sq.mm LT XLPE (Up to 1.1KV)</t>
  </si>
  <si>
    <t xml:space="preserve"> 3.5X50Sq.mm LT XLPE (Up to 1.1KV)</t>
  </si>
  <si>
    <t xml:space="preserve"> 3.5X70Sq.mm LT XLPE (Up to 1.1KV)</t>
  </si>
  <si>
    <t xml:space="preserve"> 3.5X95Sq.mm LT XLPE (Up to 1.1KV)</t>
  </si>
  <si>
    <t xml:space="preserve"> 3.5X120Sq.mm LT XLPE (Up to 1.1KV)</t>
  </si>
  <si>
    <t xml:space="preserve"> 3.5X150Sq.mm LT XLPE (Up to 1.1KV)</t>
  </si>
  <si>
    <t xml:space="preserve"> 3.5X185Sq.mm LT XLPE (Up to 1.1KV)</t>
  </si>
  <si>
    <t xml:space="preserve"> 3.5X240Sq.mm LT XLPE (Up to 1.1KV)</t>
  </si>
  <si>
    <t xml:space="preserve"> 3.5X300Sq.mm LT XLPE (Up to 1.1KV)</t>
  </si>
  <si>
    <t xml:space="preserve"> 3.5X400Sq.mm LT XLPE (Up to 1.1KV)</t>
  </si>
  <si>
    <t xml:space="preserve"> 3.5X500Sq.mm LT XLPE (Up to 1.1KV)</t>
  </si>
  <si>
    <t xml:space="preserve"> 3.5X630Sq.mm LT XLPE (Up to 1.1KV)</t>
  </si>
  <si>
    <t>4cX 1.5Sq.mm LT XLPE (Up to 1.1KV)</t>
  </si>
  <si>
    <t>4cX 2.5Sq.mm LT XLPE (Up to 1.1KV)</t>
  </si>
  <si>
    <t>4cX4  Sq.mm LT XLPE (Up to 1.1KV)</t>
  </si>
  <si>
    <t>4cX 6  Sq.mm LT XLPE (Up to 1.1KV)</t>
  </si>
  <si>
    <t>4cX 10  Sq.mm LT XLPE (Up to 1.1KV)</t>
  </si>
  <si>
    <t>4cX16  Sq.mm LT XLPE (Up to 1.1KV)</t>
  </si>
  <si>
    <t>4cX 25  Sq.mm LT XLPE (Up to 1.1KV)</t>
  </si>
  <si>
    <t>4cX35  Sq.mm LT XLPE (Up to 1.1KV)</t>
  </si>
  <si>
    <t>4cX 50  Sq.mm LT XLPE (Up to 1.1KV)</t>
  </si>
  <si>
    <t>4cX70  Sq.mm LT XLPE (Up to 1.1KV)</t>
  </si>
  <si>
    <t>4cX 95  Sq.mm LT XLPE (Up to 1.1KV)</t>
  </si>
  <si>
    <t>4cX 120  Sq.mm LT XLPE (Up to 1.1KV)</t>
  </si>
  <si>
    <t>4cX 150  Sq.mm LT XLPE (Up to 1.1KV)</t>
  </si>
  <si>
    <t>4cX 185  Sq.mm LT XLPE (Up to 1.1KV)</t>
  </si>
  <si>
    <t>4cX 240  Sq.mm LT XLPE (Up to 1.1KV)</t>
  </si>
  <si>
    <t>4cX 300  Sq.mm LT XLPE (Up to 1.1KV)</t>
  </si>
  <si>
    <t>4cX 400  Sq.mm LT XLPE (Up to 1.1KV)</t>
  </si>
  <si>
    <t>4cX 500  Sq.mm LT XLPE (Up to 1.1KV)</t>
  </si>
  <si>
    <t>4cX 630  Sq.mm LT XLPE (Up to 1.1KV)</t>
  </si>
  <si>
    <t>1cX25Sq.mm LT XLPE (6.6KV-Earthed)</t>
  </si>
  <si>
    <t>1cX35Sq.mm LT XLPE (6.6KV-Earthed)</t>
  </si>
  <si>
    <t>1cX50Sq.mm LT XLPE (6.6KV-Earthed)</t>
  </si>
  <si>
    <t>1cX70Sq.mm LT XLPE (6.6KV-Earthed)</t>
  </si>
  <si>
    <t>1cX95Sq.mm LT XLPE (6.6KV-Earthed)</t>
  </si>
  <si>
    <t>1cX120Sq.mm LT XLPE (6.6KV-Earthed)</t>
  </si>
  <si>
    <t>1cX150  Sq.mm LT XLPE (6.6KV-Earthed)</t>
  </si>
  <si>
    <t>1cX185  Sq.mm LT XLPE (6.6KV-Earthed)</t>
  </si>
  <si>
    <t>1cX240  Sq.mm LT XLPE (6.6KV-Earthed)</t>
  </si>
  <si>
    <t>1cX300  Sq.mm LT XLPE (6.6KV-Earthed)</t>
  </si>
  <si>
    <t>1cX400  Sq.mm LT XLPE (6.6KV-Earthed)</t>
  </si>
  <si>
    <t>1cX 500  Sq.mm LT XLPE (6.6KV-Earthed)</t>
  </si>
  <si>
    <t>1cX 630  Sq.mm LT XLPE (6.6KV-Earthed)</t>
  </si>
  <si>
    <t>1cX800  Sq.mm LT XLPE (6.6KV-Earthed)</t>
  </si>
  <si>
    <t>1cX1000  Sq.mm LT XLPE (6.6KV-Earthed)</t>
  </si>
  <si>
    <t>3cX 25  Sq.mm LT XLPE (6.6KV-Earthed)</t>
  </si>
  <si>
    <t>3cX 35  Sq.mm LT XLPE (6.6KV-Earthed)</t>
  </si>
  <si>
    <t>3cX 50  Sq.mm LT XLPE (6.6KV-Earthed)</t>
  </si>
  <si>
    <t>3cX 70  Sq.mm LT XLPE (6.6KV-Earthed)</t>
  </si>
  <si>
    <t>3cX 95  Sq.mm LT XLPE (6.6KV-Earthed)</t>
  </si>
  <si>
    <t>3cX 120  Sq.mm LT XLPE (6.6KV-Earthed)</t>
  </si>
  <si>
    <t>3cX 150  Sq.mm LT XLPE (6.6KV-Earthed)</t>
  </si>
  <si>
    <t>3cX 185  Sq.mm LT XLPE (6.6KV-Earthed)</t>
  </si>
  <si>
    <t>3cX 240  Sq.mm LT XLPE (6.6KV-Earthed)</t>
  </si>
  <si>
    <t>3cX 300  Sq.mm LT XLPE (6.6KV-Earthed)</t>
  </si>
  <si>
    <t>3cX 400  Sq.mm LT XLPE (6.6KV-Earthed)</t>
  </si>
  <si>
    <t>1cX25Sq.mm HT XLPE (11KV-UnEarthed)</t>
  </si>
  <si>
    <t>1cX35Sq.mm HT XLPE (11KV-UnEarthed)</t>
  </si>
  <si>
    <t>1cX50Sq.mm HT XLPE (11KV-UnEarthed)</t>
  </si>
  <si>
    <t>1cX70Sq.mm HT XLPE (11KV-UnEarthed)</t>
  </si>
  <si>
    <t>1cX95Sq.mm HT XLPE (11KV-UnEarthed)</t>
  </si>
  <si>
    <t>1cX120Sq.mm HT XLPE (11KV-UnEarthed)</t>
  </si>
  <si>
    <t>1cX150  Sq.mm HT XLPE (11KV-UnEarthed)</t>
  </si>
  <si>
    <t>1cX185  Sq.mm HT XLPE (11KV-UnEarthed)</t>
  </si>
  <si>
    <t>1cX240  Sq.mm HT XLPE (11KV-UnEarthed)</t>
  </si>
  <si>
    <t>1cX300  Sq.mm HT XLPE (11KV-UnEarthed)</t>
  </si>
  <si>
    <t>1cX400  Sq.mm HT XLPE (11KV-UnEarthed)</t>
  </si>
  <si>
    <t>1cX 500  Sq.mm HT XLPE (11KV-UnEarthed)</t>
  </si>
  <si>
    <t>1cX 630  Sq.mm HT XLPE (11KV-UnEarthed)</t>
  </si>
  <si>
    <t>1cX800  Sq.mm HT XLPE (11KV-UnEarthed)</t>
  </si>
  <si>
    <t>1cX1000  Sq.mm HT XLPE (11KV-UnEarthed)</t>
  </si>
  <si>
    <t>3cX 25  Sq.mm HT XLPE (11KV-UnEarthed)</t>
  </si>
  <si>
    <t>3cX 35  Sq.mm HT XLPE (11KV-UnEarthed)</t>
  </si>
  <si>
    <t>3cX 50  Sq.mm HT XLPE (11KV-UnEarthed)</t>
  </si>
  <si>
    <t>3cX 70  Sq.mm HT XLPE (11KV-UnEarthed)</t>
  </si>
  <si>
    <t>3cX 95  Sq.mm HT XLPE (11KV-UnEarthed)</t>
  </si>
  <si>
    <t>3cX 120  Sq.mm HT XLPE (11KV-UnEarthed)</t>
  </si>
  <si>
    <t>3cX 150  Sq.mm HT XLPE (11KV-UnEarthed)</t>
  </si>
  <si>
    <t>3cX 185  Sq.mm HT XLPE (11KV-UnEarthed)</t>
  </si>
  <si>
    <t>3cX 240  Sq.mm HT XLPE (11KV-UnEarthed)</t>
  </si>
  <si>
    <t>3cX 300  Sq.mm HT XLPE (11KV-UnEarthed)</t>
  </si>
  <si>
    <t>3cX 400  Sq.mm HT XLPE (11KV-UnEarthed)</t>
  </si>
  <si>
    <t>1cX 95  Sq.mm HT XLPE (66KV-UnEarthed)</t>
  </si>
  <si>
    <t>1cX120  Sq.mm HT XLPE (66KV-UnEarthed)</t>
  </si>
  <si>
    <t>1cX150  Sq.mm HT XLPE (66KV-UnEarthed)</t>
  </si>
  <si>
    <t>1cX185  Sq.mm HT XLPE (66KV-UnEarthed)</t>
  </si>
  <si>
    <t>1cX240  Sq.mm HT XLPE (66KV-UnEarthed)</t>
  </si>
  <si>
    <t>1cX300  Sq.mm HT XLPE (66KV-UnEarthed)</t>
  </si>
  <si>
    <t>1cX400  Sq.mm HT XLPE (66KV-UnEarthed)</t>
  </si>
  <si>
    <t>1cX 500  Sq.mm HT XLPE (66KV-UnEarthed)</t>
  </si>
  <si>
    <t>1cX 630  Sq.mm HT XLPE (66KV-UnEarthed)</t>
  </si>
  <si>
    <t>1cX800  Sq.mm HT XLPE (66KV-UnEarthed)</t>
  </si>
  <si>
    <t>1cX1000  Sq.mm HT XLPE (66KV-UnEarthed)</t>
  </si>
  <si>
    <t>1cX25 Sq.mm HT XLPE (6.6KV-Un Earthed)</t>
  </si>
  <si>
    <t>1cX35Sq.mm HT XLPE (6.6KV-UnEarthed)</t>
  </si>
  <si>
    <t>1cX50Sq.mm HT XLPE (6.6KV-UnEarthed)</t>
  </si>
  <si>
    <t>1cX70Sq.mm HT XLPE (6.6KV-UnEarthed)</t>
  </si>
  <si>
    <t>1cX95Sq.mm HT XLPE (6.6KV-UnEarthed)</t>
  </si>
  <si>
    <t>1cX120Sq.mm HT XLPE (6.6KV-UnEarthed)</t>
  </si>
  <si>
    <t>1cX150  Sq.mm HT XLPE (6.6KV-UnEarthed)</t>
  </si>
  <si>
    <t>1cX185  Sq.mm HT XLPE (6.6KV-UnEarthed)</t>
  </si>
  <si>
    <t>1cX240  Sq.mm HT XLPE (6.6KV-UnEarthed)</t>
  </si>
  <si>
    <t>1cX300  Sq.mm HT XLPE (6.6KV-UnEarthed)</t>
  </si>
  <si>
    <t>1cX400  Sq.mm HT XLPE (6.6KV-UnEarthed)</t>
  </si>
  <si>
    <t>1cX 500  Sq.mm HT XLPE (6.6KV-UnEarthed)</t>
  </si>
  <si>
    <t>1cX 630  Sq.mm HT XLPE (6.6KV-UnEarthed)</t>
  </si>
  <si>
    <t>1cX800  Sq.mm HT XLPE (6.6KV-UnEarthed)</t>
  </si>
  <si>
    <t>1cX1000  Sq.mm HT XLPE (6.6KV-UnEarthed)</t>
  </si>
  <si>
    <t>3cX 25  Sq.mm HT XLPE (6.6KV-UnEarthed)</t>
  </si>
  <si>
    <t>3cX 35  Sq.mm HT XLPE (6.6KV-UnEarthed)</t>
  </si>
  <si>
    <t>3cX 50  Sq.mm HT XLPE (6.6KV-UnEarthed)</t>
  </si>
  <si>
    <t>3cX 70  Sq.mm HT XLPE (6.6KV-UnEarthed)</t>
  </si>
  <si>
    <t>3cX 95  Sq.mm HT XLPE (6.6KV-UnEarthed)</t>
  </si>
  <si>
    <t>3cX 120  Sq.mm HT XLPE (6.6KV-UnEarthed)</t>
  </si>
  <si>
    <t>3cX 150  Sq.mm HT XLPE (6.6KV-UnEarthed)</t>
  </si>
  <si>
    <t>3cX 185  Sq.mm HT XLPE (6.6KV-UnEarthed)</t>
  </si>
  <si>
    <t>3cX 240  Sq.mm HT XLPE (6.6KV-UnEarthed)</t>
  </si>
  <si>
    <t>3cX 300  Sq.mm HT XLPE (6.6KV-UnEarthed)</t>
  </si>
  <si>
    <t>3cX 400  Sq.mm HT XLPE (6.6KV-UnEarthed)</t>
  </si>
  <si>
    <t>ALU</t>
  </si>
  <si>
    <t>CU</t>
  </si>
  <si>
    <t>Starting P.F</t>
  </si>
  <si>
    <t>Running Condition</t>
  </si>
  <si>
    <t>Lighting Load (Kw)</t>
  </si>
  <si>
    <t>Motor Load (Kw)</t>
  </si>
  <si>
    <t>Running P.F</t>
  </si>
  <si>
    <t>Motor Lock Rotor Current</t>
  </si>
  <si>
    <t>Type of Cond.</t>
  </si>
  <si>
    <t>Starting Condition</t>
  </si>
  <si>
    <t>Starting Current of Ltg Load</t>
  </si>
  <si>
    <t>Starting Current of Motor Load</t>
  </si>
  <si>
    <t>Total Starting Current</t>
  </si>
  <si>
    <t>Total Length (Mt)</t>
  </si>
  <si>
    <t>USS</t>
  </si>
  <si>
    <t>Panel-A</t>
  </si>
  <si>
    <t>Panel-B</t>
  </si>
  <si>
    <t>Panel-C</t>
  </si>
  <si>
    <t>No. of Cable / Run</t>
  </si>
  <si>
    <t>Full Load Current (Amp)</t>
  </si>
  <si>
    <t>Voltage drop (Volt)</t>
  </si>
  <si>
    <t>Starting Voltage Regulation:</t>
  </si>
  <si>
    <t>Running Voltage Regulation:</t>
  </si>
  <si>
    <t>Calculate Cable Voltage Drop for Different Size of Cables</t>
  </si>
  <si>
    <t>Jignesh.Parmar www.electricalnotes.wordpress.com</t>
  </si>
  <si>
    <t>Load Detail</t>
  </si>
  <si>
    <t>Ω/km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</si>
</sst>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>
    <font>
      <sz val="11"/>
      <color theme="1"/>
      <name val="Calibri"/>
      <family val="2"/>
      <scheme val="minor"/>
    </font>
    <font>
      <u/>
      <sz val="11"/>
      <color theme="10"/>
      <name val="Adani Regula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 Narrow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b/>
      <u/>
      <sz val="20"/>
      <color rgb="FF3333FF"/>
      <name val="Arial Narrow"/>
      <family val="2"/>
    </font>
    <font>
      <b/>
      <u/>
      <sz val="11"/>
      <color rgb="FF3333FF"/>
      <name val="Arial Narrow"/>
      <family val="2"/>
    </font>
    <font>
      <b/>
      <sz val="12"/>
      <color rgb="FF3333FF"/>
      <name val="Arial"/>
      <family val="2"/>
    </font>
    <font>
      <b/>
      <sz val="14"/>
      <color rgb="FF3333FF"/>
      <name val="Arial"/>
      <family val="2"/>
    </font>
    <font>
      <b/>
      <sz val="12"/>
      <color rgb="FF000099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66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center" vertical="center"/>
    </xf>
    <xf numFmtId="0" fontId="5" fillId="2" borderId="1" xfId="0" applyNumberFormat="1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0" xfId="0" applyNumberFormat="1" applyFont="1" applyFill="1" applyBorder="1" applyAlignment="1" applyProtection="1">
      <alignment horizontal="center"/>
      <protection locked="0"/>
    </xf>
    <xf numFmtId="0" fontId="4" fillId="3" borderId="1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2" fontId="8" fillId="0" borderId="0" xfId="0" applyNumberFormat="1" applyFont="1" applyBorder="1" applyAlignment="1">
      <alignment horizontal="center" vertical="center"/>
    </xf>
    <xf numFmtId="10" fontId="8" fillId="0" borderId="0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8" fillId="0" borderId="0" xfId="0" applyNumberFormat="1" applyFont="1" applyBorder="1" applyAlignment="1">
      <alignment horizontal="left" vertical="center"/>
    </xf>
    <xf numFmtId="164" fontId="9" fillId="5" borderId="1" xfId="0" applyNumberFormat="1" applyFont="1" applyFill="1" applyBorder="1" applyAlignment="1">
      <alignment horizontal="center"/>
    </xf>
    <xf numFmtId="164" fontId="10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0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5" borderId="1" xfId="0" applyFont="1" applyFill="1" applyBorder="1" applyAlignment="1" applyProtection="1">
      <alignment horizontal="center"/>
    </xf>
    <xf numFmtId="165" fontId="3" fillId="5" borderId="1" xfId="0" applyNumberFormat="1" applyFont="1" applyFill="1" applyBorder="1" applyAlignment="1" applyProtection="1">
      <alignment horizontal="center"/>
    </xf>
    <xf numFmtId="2" fontId="3" fillId="5" borderId="1" xfId="0" applyNumberFormat="1" applyFont="1" applyFill="1" applyBorder="1" applyAlignment="1" applyProtection="1">
      <alignment horizontal="center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4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/>
    </xf>
    <xf numFmtId="0" fontId="4" fillId="6" borderId="1" xfId="0" applyNumberFormat="1" applyFont="1" applyFill="1" applyBorder="1" applyAlignment="1" applyProtection="1">
      <alignment horizontal="center"/>
    </xf>
    <xf numFmtId="10" fontId="14" fillId="0" borderId="0" xfId="0" applyNumberFormat="1" applyFont="1" applyBorder="1" applyAlignment="1">
      <alignment horizontal="center" vertical="center"/>
    </xf>
    <xf numFmtId="1" fontId="13" fillId="0" borderId="0" xfId="0" applyNumberFormat="1" applyFont="1" applyBorder="1" applyAlignment="1">
      <alignment horizontal="center" vertical="center"/>
    </xf>
    <xf numFmtId="1" fontId="13" fillId="0" borderId="0" xfId="0" applyNumberFormat="1" applyFont="1" applyBorder="1" applyAlignment="1" applyProtection="1">
      <alignment horizontal="center" vertical="center"/>
    </xf>
    <xf numFmtId="10" fontId="13" fillId="0" borderId="0" xfId="0" applyNumberFormat="1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2" fillId="0" borderId="0" xfId="2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</cellXfs>
  <cellStyles count="3">
    <cellStyle name="Hyperlink" xfId="1" builtinId="8" hidden="1" customBuiltin="1"/>
    <cellStyle name="Hyperlink" xfId="2" builtinId="8" customBuiltin="1"/>
    <cellStyle name="Normal" xfId="0" builtinId="0"/>
  </cellStyles>
  <dxfs count="0"/>
  <tableStyles count="0" defaultTableStyle="TableStyleMedium2" defaultPivotStyle="PivotStyleMedium9"/>
  <colors>
    <mruColors>
      <color rgb="FF3333FF"/>
      <color rgb="FF000099"/>
      <color rgb="FFFF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www.electricalnotes.wordpress.com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2:AG105"/>
  <sheetViews>
    <sheetView showGridLines="0" tabSelected="1" zoomScale="80" zoomScaleNormal="80" workbookViewId="0">
      <pane xSplit="6" ySplit="6" topLeftCell="G7" activePane="bottomRight" state="frozen"/>
      <selection pane="bottomLeft" activeCell="A8" sqref="A8"/>
      <selection pane="topRight" activeCell="G1" sqref="G1"/>
      <selection pane="bottomRight" activeCell="W2" sqref="W2"/>
    </sheetView>
  </sheetViews>
  <sheetFormatPr defaultColWidth="9.14453125" defaultRowHeight="12.75"/>
  <cols>
    <col min="1" max="1" width="3.8984375" style="4" customWidth="1"/>
    <col min="2" max="2" width="14.52734375" style="2" customWidth="1"/>
    <col min="3" max="3" width="13.31640625" style="2" customWidth="1"/>
    <col min="4" max="4" width="7.80078125" style="2" customWidth="1"/>
    <col min="5" max="5" width="7.3984375" style="2" customWidth="1"/>
    <col min="6" max="6" width="9.01171875" style="2" customWidth="1"/>
    <col min="7" max="7" width="34.5703125" style="2" customWidth="1"/>
    <col min="8" max="8" width="9.4140625" style="2" customWidth="1"/>
    <col min="9" max="9" width="10.625" style="2" customWidth="1"/>
    <col min="10" max="10" width="10.76171875" style="2" customWidth="1"/>
    <col min="11" max="13" width="8.47265625" style="2" customWidth="1"/>
    <col min="14" max="14" width="7.93359375" style="2" customWidth="1"/>
    <col min="15" max="16" width="9.01171875" style="2" customWidth="1"/>
    <col min="17" max="17" width="10.89453125" style="2" customWidth="1"/>
    <col min="18" max="19" width="12.9140625" style="2" customWidth="1"/>
    <col min="20" max="20" width="10.625" style="2" customWidth="1"/>
    <col min="21" max="21" width="10.35546875" style="2" customWidth="1"/>
    <col min="22" max="22" width="9.4140625" style="2" customWidth="1"/>
    <col min="23" max="23" width="9.68359375" style="2" customWidth="1"/>
    <col min="24" max="24" width="9.4140625" style="2" customWidth="1"/>
    <col min="25" max="25" width="10.625" style="2" customWidth="1"/>
    <col min="26" max="26" width="14.796875" style="2" customWidth="1"/>
    <col min="27" max="27" width="14.796875" style="2" hidden="1" customWidth="1"/>
    <col min="28" max="28" width="0" style="19" hidden="1" customWidth="1"/>
    <col min="29" max="49" width="0" style="4" hidden="1" customWidth="1"/>
    <col min="50" max="16384" width="9.14453125" style="4"/>
  </cols>
  <sheetData>
    <row r="2" spans="2:33" ht="20.25" customHeight="1">
      <c r="B2" s="64" t="s">
        <v>582</v>
      </c>
      <c r="C2" s="64"/>
      <c r="D2" s="64"/>
      <c r="E2" s="64"/>
      <c r="F2" s="64"/>
      <c r="G2" s="64"/>
      <c r="H2" s="64"/>
      <c r="I2" s="65" t="s">
        <v>580</v>
      </c>
      <c r="J2" s="65"/>
      <c r="K2" s="65"/>
      <c r="L2" s="65"/>
      <c r="M2" s="59">
        <f>W4</f>
        <v>3.2907593079762508E-2</v>
      </c>
    </row>
    <row r="3" spans="2:33" s="29" customFormat="1" ht="18">
      <c r="B3" s="66" t="s">
        <v>583</v>
      </c>
      <c r="C3" s="66"/>
      <c r="D3" s="66"/>
      <c r="E3" s="66"/>
      <c r="F3" s="66"/>
      <c r="G3" s="66"/>
      <c r="H3" s="40"/>
      <c r="I3" s="65" t="s">
        <v>581</v>
      </c>
      <c r="J3" s="65"/>
      <c r="K3" s="65"/>
      <c r="L3" s="65"/>
      <c r="M3" s="59">
        <f>Y4</f>
        <v>2.6579628205772171E-2</v>
      </c>
      <c r="N3" s="2"/>
      <c r="O3" s="30"/>
      <c r="P3" s="30"/>
      <c r="Q3" s="30"/>
      <c r="R3" s="30"/>
      <c r="S3" s="30"/>
      <c r="T3" s="30"/>
      <c r="U3" s="30"/>
      <c r="V3" s="27"/>
      <c r="W3" s="28"/>
      <c r="X3" s="27"/>
      <c r="Y3" s="28"/>
      <c r="Z3" s="30"/>
      <c r="AA3" s="30"/>
      <c r="AB3" s="31"/>
    </row>
    <row r="4" spans="2:33" s="29" customFormat="1" ht="14.25">
      <c r="B4" s="33"/>
      <c r="C4" s="33"/>
      <c r="D4" s="33"/>
      <c r="E4" s="33"/>
      <c r="F4" s="46">
        <f>SUBTOTAL(9,F7:F105)</f>
        <v>350</v>
      </c>
      <c r="G4" s="30"/>
      <c r="H4" s="34"/>
      <c r="I4" s="30"/>
      <c r="J4" s="32"/>
      <c r="K4" s="32"/>
      <c r="L4" s="32"/>
      <c r="M4" s="30"/>
      <c r="N4" s="34"/>
      <c r="O4" s="30"/>
      <c r="P4" s="60">
        <f>SUBTOTAL(9,P7:P105)</f>
        <v>277</v>
      </c>
      <c r="Q4" s="30"/>
      <c r="R4" s="46">
        <f>SUBTOTAL(9,R7:R105)</f>
        <v>297.98267576008368</v>
      </c>
      <c r="S4" s="46">
        <f>SUBTOTAL(9,S7:S105)</f>
        <v>560.03285526084187</v>
      </c>
      <c r="T4" s="46">
        <f>SUBTOTAL(9,T7:T105)</f>
        <v>858.01553102092555</v>
      </c>
      <c r="U4" s="61">
        <f>SUBTOTAL(9,U7:U105)</f>
        <v>419.73011278776806</v>
      </c>
      <c r="V4" s="45">
        <f>SUBTOTAL(9,V7:V105)</f>
        <v>13.914977061774938</v>
      </c>
      <c r="W4" s="62">
        <f t="shared" ref="W4:Y4" si="0">SUBTOTAL(9,W7:W105)</f>
        <v>3.2907593079762508E-2</v>
      </c>
      <c r="X4" s="45">
        <f t="shared" si="0"/>
        <v>11.179686222931611</v>
      </c>
      <c r="Y4" s="62">
        <f t="shared" si="0"/>
        <v>2.6579628205772171E-2</v>
      </c>
      <c r="Z4" s="30"/>
      <c r="AA4" s="30"/>
      <c r="AB4" s="31"/>
    </row>
    <row r="5" spans="2:33" s="26" customFormat="1" ht="15">
      <c r="B5" s="63" t="s">
        <v>3</v>
      </c>
      <c r="C5" s="63"/>
      <c r="D5" s="63" t="s">
        <v>4</v>
      </c>
      <c r="E5" s="63"/>
      <c r="F5" s="63"/>
      <c r="G5" s="63" t="s">
        <v>289</v>
      </c>
      <c r="H5" s="63"/>
      <c r="I5" s="63"/>
      <c r="J5" s="63"/>
      <c r="K5" s="63" t="s">
        <v>584</v>
      </c>
      <c r="L5" s="63"/>
      <c r="M5" s="63"/>
      <c r="N5" s="63"/>
      <c r="O5" s="63"/>
      <c r="P5" s="63"/>
      <c r="Q5" s="63"/>
      <c r="R5" s="63"/>
      <c r="S5" s="63"/>
      <c r="T5" s="63"/>
      <c r="U5" s="63"/>
      <c r="V5" s="63" t="s">
        <v>568</v>
      </c>
      <c r="W5" s="63"/>
      <c r="X5" s="63" t="s">
        <v>562</v>
      </c>
      <c r="Y5" s="63"/>
      <c r="Z5" s="25"/>
      <c r="AA5" s="25"/>
    </row>
    <row r="6" spans="2:33" s="3" customFormat="1" ht="39.75" customHeight="1">
      <c r="B6" s="22" t="s">
        <v>0</v>
      </c>
      <c r="C6" s="22" t="s">
        <v>1</v>
      </c>
      <c r="D6" s="22" t="s">
        <v>6</v>
      </c>
      <c r="E6" s="22" t="s">
        <v>577</v>
      </c>
      <c r="F6" s="37" t="s">
        <v>572</v>
      </c>
      <c r="G6" s="22" t="s">
        <v>288</v>
      </c>
      <c r="H6" s="22" t="s">
        <v>567</v>
      </c>
      <c r="I6" s="22" t="s">
        <v>9</v>
      </c>
      <c r="J6" s="22" t="s">
        <v>7</v>
      </c>
      <c r="K6" s="23" t="s">
        <v>5</v>
      </c>
      <c r="L6" s="24" t="s">
        <v>561</v>
      </c>
      <c r="M6" s="23" t="s">
        <v>565</v>
      </c>
      <c r="N6" s="23" t="s">
        <v>563</v>
      </c>
      <c r="O6" s="23" t="s">
        <v>564</v>
      </c>
      <c r="P6" s="35" t="s">
        <v>8</v>
      </c>
      <c r="Q6" s="23" t="s">
        <v>566</v>
      </c>
      <c r="R6" s="23" t="s">
        <v>569</v>
      </c>
      <c r="S6" s="23" t="s">
        <v>570</v>
      </c>
      <c r="T6" s="23" t="s">
        <v>571</v>
      </c>
      <c r="U6" s="35" t="s">
        <v>578</v>
      </c>
      <c r="V6" s="22" t="s">
        <v>579</v>
      </c>
      <c r="W6" s="37" t="s">
        <v>2</v>
      </c>
      <c r="X6" s="22" t="s">
        <v>579</v>
      </c>
      <c r="Y6" s="37" t="s">
        <v>2</v>
      </c>
      <c r="Z6" s="2"/>
      <c r="AA6" s="2"/>
      <c r="AB6" s="18"/>
    </row>
    <row r="7" spans="2:33">
      <c r="B7" s="47" t="s">
        <v>573</v>
      </c>
      <c r="C7" s="47" t="s">
        <v>574</v>
      </c>
      <c r="D7" s="48">
        <v>50</v>
      </c>
      <c r="E7" s="48">
        <v>2</v>
      </c>
      <c r="F7" s="36">
        <f>D7*E7</f>
        <v>100</v>
      </c>
      <c r="G7" s="47" t="s">
        <v>433</v>
      </c>
      <c r="H7" s="47" t="s">
        <v>559</v>
      </c>
      <c r="I7" s="51">
        <f>AB7</f>
        <v>0.13</v>
      </c>
      <c r="J7" s="52">
        <f>AC7</f>
        <v>7.0999999999999994E-2</v>
      </c>
      <c r="K7" s="47">
        <v>433</v>
      </c>
      <c r="L7" s="48">
        <v>0.6</v>
      </c>
      <c r="M7" s="47">
        <v>0.9</v>
      </c>
      <c r="N7" s="47"/>
      <c r="O7" s="47">
        <v>126</v>
      </c>
      <c r="P7" s="36">
        <f>N7+O7</f>
        <v>126</v>
      </c>
      <c r="Q7" s="47">
        <v>3</v>
      </c>
      <c r="R7" s="43">
        <f>IF(N7=0,0,(N7/(1.732*K7*L7))*1000)</f>
        <v>0</v>
      </c>
      <c r="S7" s="41">
        <f>IF(O7=0,0,((O7/(1.732*K7*M7))*1000)*Q7)</f>
        <v>560.03285526084187</v>
      </c>
      <c r="T7" s="42">
        <f>R7+S7</f>
        <v>560.03285526084187</v>
      </c>
      <c r="U7" s="38">
        <f>IF(P7=0,0,(P7/(1.732*K7*M7))*1000)</f>
        <v>186.67761842028062</v>
      </c>
      <c r="V7" s="44">
        <f t="shared" ref="V7:V38" si="1">IF(T7=0,"",(1.732*T7*((AB7*AF7)+(AC7*AG7))*(D7/1000))/E7)</f>
        <v>3.2688221709006928</v>
      </c>
      <c r="W7" s="39">
        <f t="shared" ref="W7:W38" si="2">IF(V7="","",(V7/K7))</f>
        <v>7.5492428889161493E-3</v>
      </c>
      <c r="X7" s="38">
        <f t="shared" ref="X7:X38" si="3">IF(U7=0,"",(1.732*U7*((AB7*AD7)+(AC7*AE7))*(D7/1000))/E7)</f>
        <v>1.19588600172514</v>
      </c>
      <c r="Y7" s="39">
        <f t="shared" ref="Y7:Y38" si="4">IF(X7="","",(X7/K7))</f>
        <v>2.7618614358548271E-3</v>
      </c>
      <c r="AA7" s="2">
        <f>IF(H7="ALU",2,4)</f>
        <v>2</v>
      </c>
      <c r="AB7" s="2">
        <f t="shared" ref="AB7:AB9" si="5">IF(G7="","",VLOOKUP(G7,table,AA7,0))</f>
        <v>0.13</v>
      </c>
      <c r="AC7" s="20">
        <f t="shared" ref="AC7:AC9" si="6">IF(G7="","",VLOOKUP(G7,table,(AA7+1),0))</f>
        <v>7.0999999999999994E-2</v>
      </c>
      <c r="AD7" s="2">
        <f>M7</f>
        <v>0.9</v>
      </c>
      <c r="AE7" s="21">
        <f>SIN(ACOS(AD7))</f>
        <v>0.43588989435406728</v>
      </c>
      <c r="AF7" s="2">
        <f>L7</f>
        <v>0.6</v>
      </c>
      <c r="AG7" s="21">
        <f>SIN(ACOS(AF7))</f>
        <v>0.8</v>
      </c>
    </row>
    <row r="8" spans="2:33">
      <c r="B8" s="47" t="s">
        <v>574</v>
      </c>
      <c r="C8" s="47" t="s">
        <v>575</v>
      </c>
      <c r="D8" s="47">
        <v>100</v>
      </c>
      <c r="E8" s="47">
        <v>2</v>
      </c>
      <c r="F8" s="36">
        <f t="shared" ref="F8:F31" si="7">D8*E8</f>
        <v>200</v>
      </c>
      <c r="G8" s="47" t="s">
        <v>447</v>
      </c>
      <c r="H8" s="47" t="s">
        <v>559</v>
      </c>
      <c r="I8" s="51">
        <f t="shared" ref="I8" si="8">AB8</f>
        <v>0.13</v>
      </c>
      <c r="J8" s="52">
        <f t="shared" ref="J8" si="9">AC8</f>
        <v>7.0999999999999994E-2</v>
      </c>
      <c r="K8" s="47">
        <v>433</v>
      </c>
      <c r="L8" s="47">
        <v>0.7</v>
      </c>
      <c r="M8" s="47">
        <v>0.9</v>
      </c>
      <c r="N8" s="47">
        <v>126</v>
      </c>
      <c r="O8" s="47"/>
      <c r="P8" s="36">
        <f t="shared" ref="P8:P31" si="10">N8+O8</f>
        <v>126</v>
      </c>
      <c r="Q8" s="47">
        <v>3</v>
      </c>
      <c r="R8" s="43">
        <f t="shared" ref="R8:R31" si="11">IF(N8=0,0,(N8/(1.732*K8*L8))*1000)</f>
        <v>240.01408082607512</v>
      </c>
      <c r="S8" s="41">
        <f t="shared" ref="S8:S31" si="12">IF(O8=0,0,((O8/(1.732*K8*M8))*1000)*Q8)</f>
        <v>0</v>
      </c>
      <c r="T8" s="42">
        <f t="shared" ref="T8:T31" si="13">R8+S8</f>
        <v>240.01408082607512</v>
      </c>
      <c r="U8" s="38">
        <f t="shared" ref="U8:U30" si="14">IF(P8=0,0,(P8/(1.732*K8*M8))*1000)</f>
        <v>186.67761842028062</v>
      </c>
      <c r="V8" s="44">
        <f t="shared" si="1"/>
        <v>2.9453516780228362</v>
      </c>
      <c r="W8" s="39">
        <f t="shared" si="2"/>
        <v>6.8021978707224857E-3</v>
      </c>
      <c r="X8" s="38">
        <f t="shared" si="3"/>
        <v>2.3917720034502801</v>
      </c>
      <c r="Y8" s="39">
        <f t="shared" si="4"/>
        <v>5.5237228717096541E-3</v>
      </c>
      <c r="AA8" s="2">
        <f>IF(H8="ALU",2,4)</f>
        <v>2</v>
      </c>
      <c r="AB8" s="2">
        <f t="shared" si="5"/>
        <v>0.13</v>
      </c>
      <c r="AC8" s="20">
        <f t="shared" si="6"/>
        <v>7.0999999999999994E-2</v>
      </c>
      <c r="AD8" s="2">
        <f>M8</f>
        <v>0.9</v>
      </c>
      <c r="AE8" s="21">
        <f>SIN(ACOS(AD8))</f>
        <v>0.43588989435406728</v>
      </c>
      <c r="AF8" s="2">
        <f>L8</f>
        <v>0.7</v>
      </c>
      <c r="AG8" s="21">
        <f>SIN(ACOS(AF8))</f>
        <v>0.71414284285428498</v>
      </c>
    </row>
    <row r="9" spans="2:33">
      <c r="B9" s="47" t="s">
        <v>575</v>
      </c>
      <c r="C9" s="47" t="s">
        <v>576</v>
      </c>
      <c r="D9" s="47">
        <v>50</v>
      </c>
      <c r="E9" s="47">
        <v>1</v>
      </c>
      <c r="F9" s="36">
        <f t="shared" si="7"/>
        <v>50</v>
      </c>
      <c r="G9" s="47" t="s">
        <v>456</v>
      </c>
      <c r="H9" s="47" t="s">
        <v>559</v>
      </c>
      <c r="I9" s="51">
        <f t="shared" ref="I9:I16" si="15">AB9</f>
        <v>2.4500000000000002</v>
      </c>
      <c r="J9" s="53">
        <f t="shared" ref="J9:J16" si="16">AC9</f>
        <v>0.08</v>
      </c>
      <c r="K9" s="47">
        <v>415</v>
      </c>
      <c r="L9" s="47">
        <v>0.6</v>
      </c>
      <c r="M9" s="47">
        <v>0.75</v>
      </c>
      <c r="N9" s="47">
        <v>25</v>
      </c>
      <c r="O9" s="47"/>
      <c r="P9" s="36">
        <f t="shared" si="10"/>
        <v>25</v>
      </c>
      <c r="Q9" s="47">
        <v>2</v>
      </c>
      <c r="R9" s="43">
        <f t="shared" si="11"/>
        <v>57.968594934008557</v>
      </c>
      <c r="S9" s="41">
        <f t="shared" si="12"/>
        <v>0</v>
      </c>
      <c r="T9" s="42">
        <f t="shared" si="13"/>
        <v>57.968594934008557</v>
      </c>
      <c r="U9" s="38">
        <f t="shared" si="14"/>
        <v>46.374875947206839</v>
      </c>
      <c r="V9" s="44">
        <f t="shared" si="1"/>
        <v>7.7008032128514081</v>
      </c>
      <c r="W9" s="39">
        <f t="shared" si="2"/>
        <v>1.8556152320123875E-2</v>
      </c>
      <c r="X9" s="38">
        <f t="shared" si="3"/>
        <v>7.5920282177561917</v>
      </c>
      <c r="Y9" s="39">
        <f t="shared" si="4"/>
        <v>1.8294043898207692E-2</v>
      </c>
      <c r="AA9" s="2">
        <f t="shared" ref="AA9" si="17">IF(H9="ALU",2,4)</f>
        <v>2</v>
      </c>
      <c r="AB9" s="2">
        <f t="shared" si="5"/>
        <v>2.4500000000000002</v>
      </c>
      <c r="AC9" s="20">
        <f t="shared" si="6"/>
        <v>0.08</v>
      </c>
      <c r="AD9" s="2">
        <f t="shared" ref="AD9" si="18">M9</f>
        <v>0.75</v>
      </c>
      <c r="AE9" s="21">
        <f t="shared" ref="AE9" si="19">SIN(ACOS(AD9))</f>
        <v>0.66143782776614757</v>
      </c>
      <c r="AF9" s="2">
        <f t="shared" ref="AF9" si="20">L9</f>
        <v>0.6</v>
      </c>
      <c r="AG9" s="21">
        <f t="shared" ref="AG9" si="21">SIN(ACOS(AF9))</f>
        <v>0.8</v>
      </c>
    </row>
    <row r="10" spans="2:33">
      <c r="B10" s="47"/>
      <c r="C10" s="47"/>
      <c r="D10" s="47"/>
      <c r="E10" s="47"/>
      <c r="F10" s="36">
        <f t="shared" si="7"/>
        <v>0</v>
      </c>
      <c r="G10" s="47"/>
      <c r="H10" s="47"/>
      <c r="I10" s="51" t="str">
        <f t="shared" si="15"/>
        <v/>
      </c>
      <c r="J10" s="53" t="str">
        <f t="shared" si="16"/>
        <v/>
      </c>
      <c r="K10" s="47"/>
      <c r="L10" s="47"/>
      <c r="M10" s="47"/>
      <c r="N10" s="47"/>
      <c r="O10" s="47"/>
      <c r="P10" s="36">
        <f t="shared" si="10"/>
        <v>0</v>
      </c>
      <c r="Q10" s="47"/>
      <c r="R10" s="43">
        <f t="shared" si="11"/>
        <v>0</v>
      </c>
      <c r="S10" s="41">
        <f t="shared" si="12"/>
        <v>0</v>
      </c>
      <c r="T10" s="42">
        <f t="shared" si="13"/>
        <v>0</v>
      </c>
      <c r="U10" s="38">
        <f t="shared" si="14"/>
        <v>0</v>
      </c>
      <c r="V10" s="44" t="str">
        <f t="shared" si="1"/>
        <v/>
      </c>
      <c r="W10" s="39" t="str">
        <f t="shared" si="2"/>
        <v/>
      </c>
      <c r="X10" s="38" t="str">
        <f t="shared" si="3"/>
        <v/>
      </c>
      <c r="Y10" s="39" t="str">
        <f t="shared" si="4"/>
        <v/>
      </c>
      <c r="AA10" s="2">
        <f t="shared" ref="AA10:AA24" si="22">IF(H10="ALU",2,4)</f>
        <v>4</v>
      </c>
      <c r="AB10" s="2" t="str">
        <f t="shared" ref="AB10:AB24" si="23">IF(G10="","",VLOOKUP(G10,table,AA10,0))</f>
        <v/>
      </c>
      <c r="AC10" s="20" t="str">
        <f t="shared" ref="AC10:AC24" si="24">IF(G10="","",VLOOKUP(G10,table,(AA10+1),0))</f>
        <v/>
      </c>
      <c r="AD10" s="2">
        <f t="shared" ref="AD10:AD24" si="25">M10</f>
        <v>0</v>
      </c>
      <c r="AE10" s="21">
        <f t="shared" ref="AE10:AE24" si="26">SIN(ACOS(AD10))</f>
        <v>1</v>
      </c>
      <c r="AF10" s="2">
        <f t="shared" ref="AF10:AF24" si="27">L10</f>
        <v>0</v>
      </c>
      <c r="AG10" s="21">
        <f t="shared" ref="AG10:AG24" si="28">SIN(ACOS(AF10))</f>
        <v>1</v>
      </c>
    </row>
    <row r="11" spans="2:33">
      <c r="B11" s="47"/>
      <c r="C11" s="47"/>
      <c r="D11" s="47"/>
      <c r="E11" s="47"/>
      <c r="F11" s="36">
        <f t="shared" si="7"/>
        <v>0</v>
      </c>
      <c r="G11" s="47"/>
      <c r="H11" s="47"/>
      <c r="I11" s="51" t="str">
        <f t="shared" si="15"/>
        <v/>
      </c>
      <c r="J11" s="53" t="str">
        <f t="shared" si="16"/>
        <v/>
      </c>
      <c r="K11" s="47"/>
      <c r="L11" s="47"/>
      <c r="M11" s="47"/>
      <c r="N11" s="47"/>
      <c r="O11" s="47"/>
      <c r="P11" s="36">
        <f t="shared" si="10"/>
        <v>0</v>
      </c>
      <c r="Q11" s="47"/>
      <c r="R11" s="43">
        <f t="shared" si="11"/>
        <v>0</v>
      </c>
      <c r="S11" s="41">
        <f t="shared" si="12"/>
        <v>0</v>
      </c>
      <c r="T11" s="42">
        <f t="shared" si="13"/>
        <v>0</v>
      </c>
      <c r="U11" s="38">
        <f t="shared" si="14"/>
        <v>0</v>
      </c>
      <c r="V11" s="44" t="str">
        <f t="shared" si="1"/>
        <v/>
      </c>
      <c r="W11" s="39" t="str">
        <f t="shared" si="2"/>
        <v/>
      </c>
      <c r="X11" s="38" t="str">
        <f t="shared" si="3"/>
        <v/>
      </c>
      <c r="Y11" s="39" t="str">
        <f t="shared" si="4"/>
        <v/>
      </c>
      <c r="AA11" s="2">
        <f t="shared" si="22"/>
        <v>4</v>
      </c>
      <c r="AB11" s="2" t="str">
        <f t="shared" si="23"/>
        <v/>
      </c>
      <c r="AC11" s="20" t="str">
        <f t="shared" si="24"/>
        <v/>
      </c>
      <c r="AD11" s="2">
        <f t="shared" si="25"/>
        <v>0</v>
      </c>
      <c r="AE11" s="21">
        <f t="shared" si="26"/>
        <v>1</v>
      </c>
      <c r="AF11" s="2">
        <f t="shared" si="27"/>
        <v>0</v>
      </c>
      <c r="AG11" s="21">
        <f t="shared" si="28"/>
        <v>1</v>
      </c>
    </row>
    <row r="12" spans="2:33">
      <c r="B12" s="47"/>
      <c r="C12" s="47"/>
      <c r="D12" s="47"/>
      <c r="E12" s="47"/>
      <c r="F12" s="36">
        <f t="shared" si="7"/>
        <v>0</v>
      </c>
      <c r="G12" s="47"/>
      <c r="H12" s="47"/>
      <c r="I12" s="51" t="str">
        <f t="shared" si="15"/>
        <v/>
      </c>
      <c r="J12" s="53" t="str">
        <f t="shared" si="16"/>
        <v/>
      </c>
      <c r="K12" s="47"/>
      <c r="L12" s="47"/>
      <c r="M12" s="47"/>
      <c r="N12" s="47"/>
      <c r="O12" s="47"/>
      <c r="P12" s="36">
        <f t="shared" si="10"/>
        <v>0</v>
      </c>
      <c r="Q12" s="47"/>
      <c r="R12" s="43">
        <f t="shared" si="11"/>
        <v>0</v>
      </c>
      <c r="S12" s="41">
        <f t="shared" si="12"/>
        <v>0</v>
      </c>
      <c r="T12" s="42">
        <f t="shared" si="13"/>
        <v>0</v>
      </c>
      <c r="U12" s="38">
        <f t="shared" si="14"/>
        <v>0</v>
      </c>
      <c r="V12" s="44" t="str">
        <f t="shared" si="1"/>
        <v/>
      </c>
      <c r="W12" s="39" t="str">
        <f t="shared" si="2"/>
        <v/>
      </c>
      <c r="X12" s="38" t="str">
        <f t="shared" si="3"/>
        <v/>
      </c>
      <c r="Y12" s="39" t="str">
        <f t="shared" si="4"/>
        <v/>
      </c>
      <c r="AA12" s="2">
        <f t="shared" si="22"/>
        <v>4</v>
      </c>
      <c r="AB12" s="2" t="str">
        <f t="shared" si="23"/>
        <v/>
      </c>
      <c r="AC12" s="20" t="str">
        <f t="shared" si="24"/>
        <v/>
      </c>
      <c r="AD12" s="2">
        <f t="shared" si="25"/>
        <v>0</v>
      </c>
      <c r="AE12" s="21">
        <f t="shared" si="26"/>
        <v>1</v>
      </c>
      <c r="AF12" s="2">
        <f t="shared" si="27"/>
        <v>0</v>
      </c>
      <c r="AG12" s="21">
        <f t="shared" si="28"/>
        <v>1</v>
      </c>
    </row>
    <row r="13" spans="2:33">
      <c r="B13" s="47"/>
      <c r="C13" s="47"/>
      <c r="D13" s="47"/>
      <c r="E13" s="47"/>
      <c r="F13" s="36">
        <f t="shared" si="7"/>
        <v>0</v>
      </c>
      <c r="G13" s="47"/>
      <c r="H13" s="47"/>
      <c r="I13" s="51" t="str">
        <f t="shared" si="15"/>
        <v/>
      </c>
      <c r="J13" s="53" t="str">
        <f t="shared" si="16"/>
        <v/>
      </c>
      <c r="K13" s="47"/>
      <c r="L13" s="47"/>
      <c r="M13" s="47"/>
      <c r="N13" s="47"/>
      <c r="O13" s="47"/>
      <c r="P13" s="36">
        <f t="shared" si="10"/>
        <v>0</v>
      </c>
      <c r="Q13" s="47"/>
      <c r="R13" s="43">
        <f t="shared" si="11"/>
        <v>0</v>
      </c>
      <c r="S13" s="41">
        <f t="shared" si="12"/>
        <v>0</v>
      </c>
      <c r="T13" s="42">
        <f t="shared" si="13"/>
        <v>0</v>
      </c>
      <c r="U13" s="38">
        <f t="shared" si="14"/>
        <v>0</v>
      </c>
      <c r="V13" s="44" t="str">
        <f t="shared" si="1"/>
        <v/>
      </c>
      <c r="W13" s="39" t="str">
        <f t="shared" si="2"/>
        <v/>
      </c>
      <c r="X13" s="38" t="str">
        <f t="shared" si="3"/>
        <v/>
      </c>
      <c r="Y13" s="39" t="str">
        <f t="shared" si="4"/>
        <v/>
      </c>
      <c r="AA13" s="2">
        <f t="shared" si="22"/>
        <v>4</v>
      </c>
      <c r="AB13" s="2" t="str">
        <f t="shared" si="23"/>
        <v/>
      </c>
      <c r="AC13" s="20" t="str">
        <f t="shared" si="24"/>
        <v/>
      </c>
      <c r="AD13" s="2">
        <f t="shared" si="25"/>
        <v>0</v>
      </c>
      <c r="AE13" s="21">
        <f t="shared" si="26"/>
        <v>1</v>
      </c>
      <c r="AF13" s="2">
        <f t="shared" si="27"/>
        <v>0</v>
      </c>
      <c r="AG13" s="21">
        <f t="shared" si="28"/>
        <v>1</v>
      </c>
    </row>
    <row r="14" spans="2:33">
      <c r="B14" s="47"/>
      <c r="C14" s="47"/>
      <c r="D14" s="47"/>
      <c r="E14" s="47"/>
      <c r="F14" s="36">
        <f t="shared" si="7"/>
        <v>0</v>
      </c>
      <c r="G14" s="47"/>
      <c r="H14" s="47"/>
      <c r="I14" s="51" t="str">
        <f t="shared" si="15"/>
        <v/>
      </c>
      <c r="J14" s="53" t="str">
        <f t="shared" si="16"/>
        <v/>
      </c>
      <c r="K14" s="47"/>
      <c r="L14" s="47"/>
      <c r="M14" s="47"/>
      <c r="N14" s="47"/>
      <c r="O14" s="47"/>
      <c r="P14" s="36">
        <f t="shared" si="10"/>
        <v>0</v>
      </c>
      <c r="Q14" s="47"/>
      <c r="R14" s="43">
        <f t="shared" si="11"/>
        <v>0</v>
      </c>
      <c r="S14" s="41">
        <f t="shared" si="12"/>
        <v>0</v>
      </c>
      <c r="T14" s="42">
        <f t="shared" si="13"/>
        <v>0</v>
      </c>
      <c r="U14" s="38">
        <f t="shared" si="14"/>
        <v>0</v>
      </c>
      <c r="V14" s="44" t="str">
        <f t="shared" si="1"/>
        <v/>
      </c>
      <c r="W14" s="39" t="str">
        <f t="shared" si="2"/>
        <v/>
      </c>
      <c r="X14" s="38" t="str">
        <f t="shared" si="3"/>
        <v/>
      </c>
      <c r="Y14" s="39" t="str">
        <f t="shared" si="4"/>
        <v/>
      </c>
      <c r="AA14" s="2">
        <f t="shared" si="22"/>
        <v>4</v>
      </c>
      <c r="AB14" s="2" t="str">
        <f t="shared" si="23"/>
        <v/>
      </c>
      <c r="AC14" s="20" t="str">
        <f t="shared" si="24"/>
        <v/>
      </c>
      <c r="AD14" s="2">
        <f t="shared" si="25"/>
        <v>0</v>
      </c>
      <c r="AE14" s="21">
        <f t="shared" si="26"/>
        <v>1</v>
      </c>
      <c r="AF14" s="2">
        <f t="shared" si="27"/>
        <v>0</v>
      </c>
      <c r="AG14" s="21">
        <f t="shared" si="28"/>
        <v>1</v>
      </c>
    </row>
    <row r="15" spans="2:33">
      <c r="B15" s="47"/>
      <c r="C15" s="47"/>
      <c r="D15" s="47"/>
      <c r="E15" s="47"/>
      <c r="F15" s="36">
        <f t="shared" si="7"/>
        <v>0</v>
      </c>
      <c r="G15" s="47"/>
      <c r="H15" s="47"/>
      <c r="I15" s="51" t="str">
        <f t="shared" si="15"/>
        <v/>
      </c>
      <c r="J15" s="53" t="str">
        <f t="shared" si="16"/>
        <v/>
      </c>
      <c r="K15" s="47"/>
      <c r="L15" s="47"/>
      <c r="M15" s="47"/>
      <c r="N15" s="47"/>
      <c r="O15" s="47"/>
      <c r="P15" s="36">
        <f t="shared" si="10"/>
        <v>0</v>
      </c>
      <c r="Q15" s="47"/>
      <c r="R15" s="43">
        <f t="shared" si="11"/>
        <v>0</v>
      </c>
      <c r="S15" s="41">
        <f t="shared" si="12"/>
        <v>0</v>
      </c>
      <c r="T15" s="42">
        <f t="shared" si="13"/>
        <v>0</v>
      </c>
      <c r="U15" s="38">
        <f t="shared" si="14"/>
        <v>0</v>
      </c>
      <c r="V15" s="44" t="str">
        <f t="shared" si="1"/>
        <v/>
      </c>
      <c r="W15" s="39" t="str">
        <f t="shared" si="2"/>
        <v/>
      </c>
      <c r="X15" s="38" t="str">
        <f t="shared" si="3"/>
        <v/>
      </c>
      <c r="Y15" s="39" t="str">
        <f t="shared" si="4"/>
        <v/>
      </c>
      <c r="AA15" s="2">
        <f t="shared" si="22"/>
        <v>4</v>
      </c>
      <c r="AB15" s="2" t="str">
        <f t="shared" si="23"/>
        <v/>
      </c>
      <c r="AC15" s="20" t="str">
        <f t="shared" si="24"/>
        <v/>
      </c>
      <c r="AD15" s="2">
        <f t="shared" si="25"/>
        <v>0</v>
      </c>
      <c r="AE15" s="21">
        <f t="shared" si="26"/>
        <v>1</v>
      </c>
      <c r="AF15" s="2">
        <f t="shared" si="27"/>
        <v>0</v>
      </c>
      <c r="AG15" s="21">
        <f t="shared" si="28"/>
        <v>1</v>
      </c>
    </row>
    <row r="16" spans="2:33">
      <c r="B16" s="47"/>
      <c r="C16" s="47"/>
      <c r="D16" s="47"/>
      <c r="E16" s="47"/>
      <c r="F16" s="36">
        <f t="shared" si="7"/>
        <v>0</v>
      </c>
      <c r="G16" s="47"/>
      <c r="H16" s="47"/>
      <c r="I16" s="51" t="str">
        <f t="shared" si="15"/>
        <v/>
      </c>
      <c r="J16" s="53" t="str">
        <f t="shared" si="16"/>
        <v/>
      </c>
      <c r="K16" s="47"/>
      <c r="L16" s="47"/>
      <c r="M16" s="47"/>
      <c r="N16" s="47"/>
      <c r="O16" s="47"/>
      <c r="P16" s="36">
        <f t="shared" si="10"/>
        <v>0</v>
      </c>
      <c r="Q16" s="47"/>
      <c r="R16" s="43">
        <f t="shared" si="11"/>
        <v>0</v>
      </c>
      <c r="S16" s="41">
        <f t="shared" si="12"/>
        <v>0</v>
      </c>
      <c r="T16" s="42">
        <f t="shared" si="13"/>
        <v>0</v>
      </c>
      <c r="U16" s="38">
        <f t="shared" si="14"/>
        <v>0</v>
      </c>
      <c r="V16" s="44" t="str">
        <f t="shared" si="1"/>
        <v/>
      </c>
      <c r="W16" s="39" t="str">
        <f t="shared" si="2"/>
        <v/>
      </c>
      <c r="X16" s="38" t="str">
        <f t="shared" si="3"/>
        <v/>
      </c>
      <c r="Y16" s="39" t="str">
        <f t="shared" si="4"/>
        <v/>
      </c>
      <c r="AA16" s="2">
        <f t="shared" si="22"/>
        <v>4</v>
      </c>
      <c r="AB16" s="2" t="str">
        <f t="shared" si="23"/>
        <v/>
      </c>
      <c r="AC16" s="20" t="str">
        <f t="shared" si="24"/>
        <v/>
      </c>
      <c r="AD16" s="2">
        <f t="shared" si="25"/>
        <v>0</v>
      </c>
      <c r="AE16" s="21">
        <f t="shared" si="26"/>
        <v>1</v>
      </c>
      <c r="AF16" s="2">
        <f t="shared" si="27"/>
        <v>0</v>
      </c>
      <c r="AG16" s="21">
        <f t="shared" si="28"/>
        <v>1</v>
      </c>
    </row>
    <row r="17" spans="2:33">
      <c r="B17" s="47"/>
      <c r="C17" s="47"/>
      <c r="D17" s="47"/>
      <c r="E17" s="47"/>
      <c r="F17" s="36">
        <f t="shared" si="7"/>
        <v>0</v>
      </c>
      <c r="G17" s="47"/>
      <c r="H17" s="47"/>
      <c r="I17" s="51" t="str">
        <f t="shared" ref="I17:I31" si="29">AB17</f>
        <v/>
      </c>
      <c r="J17" s="53" t="str">
        <f t="shared" ref="J17:J31" si="30">AC17</f>
        <v/>
      </c>
      <c r="K17" s="47"/>
      <c r="L17" s="47"/>
      <c r="M17" s="47"/>
      <c r="N17" s="47"/>
      <c r="O17" s="47"/>
      <c r="P17" s="36">
        <f t="shared" si="10"/>
        <v>0</v>
      </c>
      <c r="Q17" s="47"/>
      <c r="R17" s="43">
        <f t="shared" si="11"/>
        <v>0</v>
      </c>
      <c r="S17" s="41">
        <f t="shared" si="12"/>
        <v>0</v>
      </c>
      <c r="T17" s="42">
        <f t="shared" si="13"/>
        <v>0</v>
      </c>
      <c r="U17" s="38">
        <f t="shared" si="14"/>
        <v>0</v>
      </c>
      <c r="V17" s="44" t="str">
        <f t="shared" si="1"/>
        <v/>
      </c>
      <c r="W17" s="39" t="str">
        <f t="shared" si="2"/>
        <v/>
      </c>
      <c r="X17" s="38" t="str">
        <f t="shared" si="3"/>
        <v/>
      </c>
      <c r="Y17" s="39" t="str">
        <f t="shared" si="4"/>
        <v/>
      </c>
      <c r="AA17" s="2">
        <f t="shared" si="22"/>
        <v>4</v>
      </c>
      <c r="AB17" s="2" t="str">
        <f t="shared" si="23"/>
        <v/>
      </c>
      <c r="AC17" s="20" t="str">
        <f t="shared" si="24"/>
        <v/>
      </c>
      <c r="AD17" s="2">
        <f t="shared" si="25"/>
        <v>0</v>
      </c>
      <c r="AE17" s="21">
        <f t="shared" si="26"/>
        <v>1</v>
      </c>
      <c r="AF17" s="2">
        <f t="shared" si="27"/>
        <v>0</v>
      </c>
      <c r="AG17" s="21">
        <f t="shared" si="28"/>
        <v>1</v>
      </c>
    </row>
    <row r="18" spans="2:33">
      <c r="B18" s="47"/>
      <c r="C18" s="47"/>
      <c r="D18" s="47"/>
      <c r="E18" s="47"/>
      <c r="F18" s="36">
        <f t="shared" si="7"/>
        <v>0</v>
      </c>
      <c r="G18" s="47"/>
      <c r="H18" s="47"/>
      <c r="I18" s="51" t="str">
        <f t="shared" si="29"/>
        <v/>
      </c>
      <c r="J18" s="53" t="str">
        <f t="shared" si="30"/>
        <v/>
      </c>
      <c r="K18" s="47"/>
      <c r="L18" s="47"/>
      <c r="M18" s="47"/>
      <c r="N18" s="47"/>
      <c r="O18" s="47"/>
      <c r="P18" s="36">
        <f t="shared" si="10"/>
        <v>0</v>
      </c>
      <c r="Q18" s="47"/>
      <c r="R18" s="43">
        <f t="shared" si="11"/>
        <v>0</v>
      </c>
      <c r="S18" s="41">
        <f t="shared" si="12"/>
        <v>0</v>
      </c>
      <c r="T18" s="42">
        <f t="shared" si="13"/>
        <v>0</v>
      </c>
      <c r="U18" s="38">
        <f t="shared" si="14"/>
        <v>0</v>
      </c>
      <c r="V18" s="44" t="str">
        <f t="shared" si="1"/>
        <v/>
      </c>
      <c r="W18" s="39" t="str">
        <f t="shared" si="2"/>
        <v/>
      </c>
      <c r="X18" s="38" t="str">
        <f t="shared" si="3"/>
        <v/>
      </c>
      <c r="Y18" s="39" t="str">
        <f t="shared" si="4"/>
        <v/>
      </c>
      <c r="AA18" s="2">
        <f t="shared" si="22"/>
        <v>4</v>
      </c>
      <c r="AB18" s="2" t="str">
        <f t="shared" si="23"/>
        <v/>
      </c>
      <c r="AC18" s="20" t="str">
        <f t="shared" si="24"/>
        <v/>
      </c>
      <c r="AD18" s="2">
        <f t="shared" si="25"/>
        <v>0</v>
      </c>
      <c r="AE18" s="21">
        <f t="shared" si="26"/>
        <v>1</v>
      </c>
      <c r="AF18" s="2">
        <f t="shared" si="27"/>
        <v>0</v>
      </c>
      <c r="AG18" s="21">
        <f t="shared" si="28"/>
        <v>1</v>
      </c>
    </row>
    <row r="19" spans="2:33">
      <c r="B19" s="47"/>
      <c r="C19" s="47"/>
      <c r="D19" s="47"/>
      <c r="E19" s="47"/>
      <c r="F19" s="36">
        <f t="shared" si="7"/>
        <v>0</v>
      </c>
      <c r="G19" s="47"/>
      <c r="H19" s="47"/>
      <c r="I19" s="51" t="str">
        <f t="shared" si="29"/>
        <v/>
      </c>
      <c r="J19" s="53" t="str">
        <f t="shared" si="30"/>
        <v/>
      </c>
      <c r="K19" s="47"/>
      <c r="L19" s="47"/>
      <c r="M19" s="47"/>
      <c r="N19" s="47"/>
      <c r="O19" s="47"/>
      <c r="P19" s="36">
        <f t="shared" si="10"/>
        <v>0</v>
      </c>
      <c r="Q19" s="47"/>
      <c r="R19" s="43">
        <f t="shared" si="11"/>
        <v>0</v>
      </c>
      <c r="S19" s="41">
        <f t="shared" si="12"/>
        <v>0</v>
      </c>
      <c r="T19" s="42">
        <f t="shared" si="13"/>
        <v>0</v>
      </c>
      <c r="U19" s="38">
        <f t="shared" si="14"/>
        <v>0</v>
      </c>
      <c r="V19" s="44" t="str">
        <f t="shared" si="1"/>
        <v/>
      </c>
      <c r="W19" s="39" t="str">
        <f t="shared" si="2"/>
        <v/>
      </c>
      <c r="X19" s="38" t="str">
        <f t="shared" si="3"/>
        <v/>
      </c>
      <c r="Y19" s="39" t="str">
        <f t="shared" si="4"/>
        <v/>
      </c>
      <c r="Z19" s="9"/>
      <c r="AA19" s="2">
        <f t="shared" si="22"/>
        <v>4</v>
      </c>
      <c r="AB19" s="2" t="str">
        <f t="shared" si="23"/>
        <v/>
      </c>
      <c r="AC19" s="20" t="str">
        <f t="shared" si="24"/>
        <v/>
      </c>
      <c r="AD19" s="2">
        <f t="shared" si="25"/>
        <v>0</v>
      </c>
      <c r="AE19" s="21">
        <f t="shared" si="26"/>
        <v>1</v>
      </c>
      <c r="AF19" s="2">
        <f t="shared" si="27"/>
        <v>0</v>
      </c>
      <c r="AG19" s="21">
        <f t="shared" si="28"/>
        <v>1</v>
      </c>
    </row>
    <row r="20" spans="2:33">
      <c r="B20" s="47"/>
      <c r="C20" s="47"/>
      <c r="D20" s="47"/>
      <c r="E20" s="47"/>
      <c r="F20" s="36">
        <f t="shared" si="7"/>
        <v>0</v>
      </c>
      <c r="G20" s="47"/>
      <c r="H20" s="47"/>
      <c r="I20" s="51" t="str">
        <f t="shared" si="29"/>
        <v/>
      </c>
      <c r="J20" s="53" t="str">
        <f t="shared" si="30"/>
        <v/>
      </c>
      <c r="K20" s="47"/>
      <c r="L20" s="47"/>
      <c r="M20" s="47"/>
      <c r="N20" s="47"/>
      <c r="O20" s="47"/>
      <c r="P20" s="36">
        <f t="shared" si="10"/>
        <v>0</v>
      </c>
      <c r="Q20" s="47"/>
      <c r="R20" s="43">
        <f t="shared" si="11"/>
        <v>0</v>
      </c>
      <c r="S20" s="41">
        <f t="shared" si="12"/>
        <v>0</v>
      </c>
      <c r="T20" s="42">
        <f t="shared" si="13"/>
        <v>0</v>
      </c>
      <c r="U20" s="38">
        <f t="shared" si="14"/>
        <v>0</v>
      </c>
      <c r="V20" s="44" t="str">
        <f t="shared" si="1"/>
        <v/>
      </c>
      <c r="W20" s="39" t="str">
        <f t="shared" si="2"/>
        <v/>
      </c>
      <c r="X20" s="38" t="str">
        <f t="shared" si="3"/>
        <v/>
      </c>
      <c r="Y20" s="39" t="str">
        <f t="shared" si="4"/>
        <v/>
      </c>
      <c r="Z20" s="9"/>
      <c r="AA20" s="2">
        <f t="shared" si="22"/>
        <v>4</v>
      </c>
      <c r="AB20" s="2" t="str">
        <f t="shared" si="23"/>
        <v/>
      </c>
      <c r="AC20" s="20" t="str">
        <f t="shared" si="24"/>
        <v/>
      </c>
      <c r="AD20" s="2">
        <f t="shared" si="25"/>
        <v>0</v>
      </c>
      <c r="AE20" s="21">
        <f t="shared" si="26"/>
        <v>1</v>
      </c>
      <c r="AF20" s="2">
        <f t="shared" si="27"/>
        <v>0</v>
      </c>
      <c r="AG20" s="21">
        <f t="shared" si="28"/>
        <v>1</v>
      </c>
    </row>
    <row r="21" spans="2:33">
      <c r="B21" s="47"/>
      <c r="C21" s="47"/>
      <c r="D21" s="47"/>
      <c r="E21" s="47"/>
      <c r="F21" s="36">
        <f t="shared" si="7"/>
        <v>0</v>
      </c>
      <c r="G21" s="47"/>
      <c r="H21" s="47"/>
      <c r="I21" s="51" t="str">
        <f t="shared" si="29"/>
        <v/>
      </c>
      <c r="J21" s="53" t="str">
        <f t="shared" si="30"/>
        <v/>
      </c>
      <c r="K21" s="47"/>
      <c r="L21" s="47"/>
      <c r="M21" s="47"/>
      <c r="N21" s="47"/>
      <c r="O21" s="47"/>
      <c r="P21" s="36">
        <f t="shared" si="10"/>
        <v>0</v>
      </c>
      <c r="Q21" s="47"/>
      <c r="R21" s="43">
        <f t="shared" si="11"/>
        <v>0</v>
      </c>
      <c r="S21" s="41">
        <f t="shared" si="12"/>
        <v>0</v>
      </c>
      <c r="T21" s="42">
        <f t="shared" si="13"/>
        <v>0</v>
      </c>
      <c r="U21" s="38">
        <f t="shared" si="14"/>
        <v>0</v>
      </c>
      <c r="V21" s="44" t="str">
        <f t="shared" si="1"/>
        <v/>
      </c>
      <c r="W21" s="39" t="str">
        <f t="shared" si="2"/>
        <v/>
      </c>
      <c r="X21" s="38" t="str">
        <f t="shared" si="3"/>
        <v/>
      </c>
      <c r="Y21" s="39" t="str">
        <f t="shared" si="4"/>
        <v/>
      </c>
      <c r="Z21" s="9"/>
      <c r="AA21" s="2">
        <f t="shared" si="22"/>
        <v>4</v>
      </c>
      <c r="AB21" s="2" t="str">
        <f t="shared" si="23"/>
        <v/>
      </c>
      <c r="AC21" s="20" t="str">
        <f t="shared" si="24"/>
        <v/>
      </c>
      <c r="AD21" s="2">
        <f t="shared" si="25"/>
        <v>0</v>
      </c>
      <c r="AE21" s="21">
        <f t="shared" si="26"/>
        <v>1</v>
      </c>
      <c r="AF21" s="2">
        <f t="shared" si="27"/>
        <v>0</v>
      </c>
      <c r="AG21" s="21">
        <f t="shared" si="28"/>
        <v>1</v>
      </c>
    </row>
    <row r="22" spans="2:33">
      <c r="B22" s="47"/>
      <c r="C22" s="47"/>
      <c r="D22" s="47"/>
      <c r="E22" s="47"/>
      <c r="F22" s="36">
        <f t="shared" si="7"/>
        <v>0</v>
      </c>
      <c r="G22" s="47"/>
      <c r="H22" s="47"/>
      <c r="I22" s="51" t="str">
        <f t="shared" si="29"/>
        <v/>
      </c>
      <c r="J22" s="53" t="str">
        <f t="shared" si="30"/>
        <v/>
      </c>
      <c r="K22" s="47"/>
      <c r="L22" s="47"/>
      <c r="M22" s="47"/>
      <c r="N22" s="47"/>
      <c r="O22" s="47"/>
      <c r="P22" s="36">
        <f t="shared" si="10"/>
        <v>0</v>
      </c>
      <c r="Q22" s="47"/>
      <c r="R22" s="43">
        <f t="shared" si="11"/>
        <v>0</v>
      </c>
      <c r="S22" s="41">
        <f t="shared" si="12"/>
        <v>0</v>
      </c>
      <c r="T22" s="42">
        <f t="shared" si="13"/>
        <v>0</v>
      </c>
      <c r="U22" s="38">
        <f t="shared" si="14"/>
        <v>0</v>
      </c>
      <c r="V22" s="44" t="str">
        <f t="shared" si="1"/>
        <v/>
      </c>
      <c r="W22" s="39" t="str">
        <f t="shared" si="2"/>
        <v/>
      </c>
      <c r="X22" s="38" t="str">
        <f t="shared" si="3"/>
        <v/>
      </c>
      <c r="Y22" s="39" t="str">
        <f t="shared" si="4"/>
        <v/>
      </c>
      <c r="Z22" s="9"/>
      <c r="AA22" s="2">
        <f t="shared" si="22"/>
        <v>4</v>
      </c>
      <c r="AB22" s="2" t="str">
        <f t="shared" si="23"/>
        <v/>
      </c>
      <c r="AC22" s="20" t="str">
        <f t="shared" si="24"/>
        <v/>
      </c>
      <c r="AD22" s="2">
        <f t="shared" si="25"/>
        <v>0</v>
      </c>
      <c r="AE22" s="21">
        <f t="shared" si="26"/>
        <v>1</v>
      </c>
      <c r="AF22" s="2">
        <f t="shared" si="27"/>
        <v>0</v>
      </c>
      <c r="AG22" s="21">
        <f t="shared" si="28"/>
        <v>1</v>
      </c>
    </row>
    <row r="23" spans="2:33">
      <c r="B23" s="47"/>
      <c r="C23" s="47"/>
      <c r="D23" s="47"/>
      <c r="E23" s="47"/>
      <c r="F23" s="36">
        <f t="shared" si="7"/>
        <v>0</v>
      </c>
      <c r="G23" s="47"/>
      <c r="H23" s="47"/>
      <c r="I23" s="51" t="str">
        <f t="shared" si="29"/>
        <v/>
      </c>
      <c r="J23" s="53" t="str">
        <f t="shared" si="30"/>
        <v/>
      </c>
      <c r="K23" s="47"/>
      <c r="L23" s="47"/>
      <c r="M23" s="47"/>
      <c r="N23" s="47"/>
      <c r="O23" s="47"/>
      <c r="P23" s="36">
        <f t="shared" si="10"/>
        <v>0</v>
      </c>
      <c r="Q23" s="47"/>
      <c r="R23" s="43">
        <f t="shared" si="11"/>
        <v>0</v>
      </c>
      <c r="S23" s="41">
        <f t="shared" si="12"/>
        <v>0</v>
      </c>
      <c r="T23" s="42">
        <f t="shared" si="13"/>
        <v>0</v>
      </c>
      <c r="U23" s="38">
        <f t="shared" si="14"/>
        <v>0</v>
      </c>
      <c r="V23" s="44" t="str">
        <f t="shared" si="1"/>
        <v/>
      </c>
      <c r="W23" s="39" t="str">
        <f t="shared" si="2"/>
        <v/>
      </c>
      <c r="X23" s="38" t="str">
        <f t="shared" si="3"/>
        <v/>
      </c>
      <c r="Y23" s="39" t="str">
        <f t="shared" si="4"/>
        <v/>
      </c>
      <c r="Z23" s="9"/>
      <c r="AA23" s="2">
        <f t="shared" si="22"/>
        <v>4</v>
      </c>
      <c r="AB23" s="2" t="str">
        <f t="shared" si="23"/>
        <v/>
      </c>
      <c r="AC23" s="20" t="str">
        <f t="shared" si="24"/>
        <v/>
      </c>
      <c r="AD23" s="2">
        <f t="shared" si="25"/>
        <v>0</v>
      </c>
      <c r="AE23" s="21">
        <f t="shared" si="26"/>
        <v>1</v>
      </c>
      <c r="AF23" s="2">
        <f t="shared" si="27"/>
        <v>0</v>
      </c>
      <c r="AG23" s="21">
        <f t="shared" si="28"/>
        <v>1</v>
      </c>
    </row>
    <row r="24" spans="2:33">
      <c r="B24" s="47"/>
      <c r="C24" s="47"/>
      <c r="D24" s="47"/>
      <c r="E24" s="47"/>
      <c r="F24" s="36">
        <f t="shared" si="7"/>
        <v>0</v>
      </c>
      <c r="G24" s="47"/>
      <c r="H24" s="47"/>
      <c r="I24" s="51" t="str">
        <f t="shared" si="29"/>
        <v/>
      </c>
      <c r="J24" s="53" t="str">
        <f t="shared" si="30"/>
        <v/>
      </c>
      <c r="K24" s="47"/>
      <c r="L24" s="47"/>
      <c r="M24" s="47"/>
      <c r="N24" s="47"/>
      <c r="O24" s="47"/>
      <c r="P24" s="36">
        <f t="shared" si="10"/>
        <v>0</v>
      </c>
      <c r="Q24" s="47"/>
      <c r="R24" s="43">
        <f t="shared" si="11"/>
        <v>0</v>
      </c>
      <c r="S24" s="41">
        <f t="shared" si="12"/>
        <v>0</v>
      </c>
      <c r="T24" s="42">
        <f t="shared" si="13"/>
        <v>0</v>
      </c>
      <c r="U24" s="38">
        <f t="shared" si="14"/>
        <v>0</v>
      </c>
      <c r="V24" s="44" t="str">
        <f t="shared" si="1"/>
        <v/>
      </c>
      <c r="W24" s="39" t="str">
        <f t="shared" si="2"/>
        <v/>
      </c>
      <c r="X24" s="38" t="str">
        <f t="shared" si="3"/>
        <v/>
      </c>
      <c r="Y24" s="39" t="str">
        <f t="shared" si="4"/>
        <v/>
      </c>
      <c r="Z24" s="9"/>
      <c r="AA24" s="2">
        <f t="shared" si="22"/>
        <v>4</v>
      </c>
      <c r="AB24" s="2" t="str">
        <f t="shared" si="23"/>
        <v/>
      </c>
      <c r="AC24" s="20" t="str">
        <f t="shared" si="24"/>
        <v/>
      </c>
      <c r="AD24" s="2">
        <f t="shared" si="25"/>
        <v>0</v>
      </c>
      <c r="AE24" s="21">
        <f t="shared" si="26"/>
        <v>1</v>
      </c>
      <c r="AF24" s="2">
        <f t="shared" si="27"/>
        <v>0</v>
      </c>
      <c r="AG24" s="21">
        <f t="shared" si="28"/>
        <v>1</v>
      </c>
    </row>
    <row r="25" spans="2:33">
      <c r="B25" s="47"/>
      <c r="C25" s="47"/>
      <c r="D25" s="47"/>
      <c r="E25" s="47"/>
      <c r="F25" s="36">
        <f t="shared" si="7"/>
        <v>0</v>
      </c>
      <c r="G25" s="47"/>
      <c r="H25" s="47"/>
      <c r="I25" s="51" t="str">
        <f t="shared" si="29"/>
        <v/>
      </c>
      <c r="J25" s="53" t="str">
        <f t="shared" si="30"/>
        <v/>
      </c>
      <c r="K25" s="47"/>
      <c r="L25" s="47"/>
      <c r="M25" s="47"/>
      <c r="N25" s="47"/>
      <c r="O25" s="47"/>
      <c r="P25" s="36">
        <f t="shared" si="10"/>
        <v>0</v>
      </c>
      <c r="Q25" s="47"/>
      <c r="R25" s="43">
        <f t="shared" si="11"/>
        <v>0</v>
      </c>
      <c r="S25" s="41">
        <f t="shared" si="12"/>
        <v>0</v>
      </c>
      <c r="T25" s="42">
        <f t="shared" si="13"/>
        <v>0</v>
      </c>
      <c r="U25" s="38">
        <f t="shared" si="14"/>
        <v>0</v>
      </c>
      <c r="V25" s="44" t="str">
        <f t="shared" si="1"/>
        <v/>
      </c>
      <c r="W25" s="39" t="str">
        <f t="shared" si="2"/>
        <v/>
      </c>
      <c r="X25" s="38" t="str">
        <f t="shared" si="3"/>
        <v/>
      </c>
      <c r="Y25" s="39" t="str">
        <f t="shared" si="4"/>
        <v/>
      </c>
      <c r="Z25" s="9"/>
      <c r="AA25" s="2">
        <f t="shared" ref="AA25:AA88" si="31">IF(H25="ALU",2,4)</f>
        <v>4</v>
      </c>
      <c r="AB25" s="2" t="str">
        <f t="shared" ref="AB25:AB88" si="32">IF(G25="","",VLOOKUP(G25,table,AA25,0))</f>
        <v/>
      </c>
      <c r="AC25" s="20" t="str">
        <f t="shared" ref="AC25:AC88" si="33">IF(G25="","",VLOOKUP(G25,table,(AA25+1),0))</f>
        <v/>
      </c>
      <c r="AD25" s="2">
        <f t="shared" ref="AD25:AD88" si="34">M25</f>
        <v>0</v>
      </c>
      <c r="AE25" s="21">
        <f t="shared" ref="AE25:AE88" si="35">SIN(ACOS(AD25))</f>
        <v>1</v>
      </c>
      <c r="AF25" s="2">
        <f t="shared" ref="AF25:AF88" si="36">L25</f>
        <v>0</v>
      </c>
      <c r="AG25" s="21">
        <f t="shared" ref="AG25:AG88" si="37">SIN(ACOS(AF25))</f>
        <v>1</v>
      </c>
    </row>
    <row r="26" spans="2:33">
      <c r="B26" s="47"/>
      <c r="C26" s="47"/>
      <c r="D26" s="47"/>
      <c r="E26" s="47"/>
      <c r="F26" s="36">
        <f t="shared" si="7"/>
        <v>0</v>
      </c>
      <c r="G26" s="47"/>
      <c r="H26" s="47"/>
      <c r="I26" s="51" t="str">
        <f t="shared" si="29"/>
        <v/>
      </c>
      <c r="J26" s="53" t="str">
        <f t="shared" si="30"/>
        <v/>
      </c>
      <c r="K26" s="47"/>
      <c r="L26" s="47"/>
      <c r="M26" s="47"/>
      <c r="N26" s="47"/>
      <c r="O26" s="47"/>
      <c r="P26" s="36">
        <f t="shared" si="10"/>
        <v>0</v>
      </c>
      <c r="Q26" s="47"/>
      <c r="R26" s="43">
        <f t="shared" si="11"/>
        <v>0</v>
      </c>
      <c r="S26" s="41">
        <f t="shared" si="12"/>
        <v>0</v>
      </c>
      <c r="T26" s="42">
        <f t="shared" si="13"/>
        <v>0</v>
      </c>
      <c r="U26" s="38">
        <f t="shared" si="14"/>
        <v>0</v>
      </c>
      <c r="V26" s="44" t="str">
        <f t="shared" si="1"/>
        <v/>
      </c>
      <c r="W26" s="39" t="str">
        <f t="shared" si="2"/>
        <v/>
      </c>
      <c r="X26" s="38" t="str">
        <f t="shared" si="3"/>
        <v/>
      </c>
      <c r="Y26" s="39" t="str">
        <f t="shared" si="4"/>
        <v/>
      </c>
      <c r="Z26" s="9"/>
      <c r="AA26" s="2">
        <f t="shared" si="31"/>
        <v>4</v>
      </c>
      <c r="AB26" s="2" t="str">
        <f t="shared" si="32"/>
        <v/>
      </c>
      <c r="AC26" s="20" t="str">
        <f t="shared" si="33"/>
        <v/>
      </c>
      <c r="AD26" s="2">
        <f t="shared" si="34"/>
        <v>0</v>
      </c>
      <c r="AE26" s="21">
        <f t="shared" si="35"/>
        <v>1</v>
      </c>
      <c r="AF26" s="2">
        <f t="shared" si="36"/>
        <v>0</v>
      </c>
      <c r="AG26" s="21">
        <f t="shared" si="37"/>
        <v>1</v>
      </c>
    </row>
    <row r="27" spans="2:33">
      <c r="B27" s="47"/>
      <c r="C27" s="47"/>
      <c r="D27" s="47"/>
      <c r="E27" s="47"/>
      <c r="F27" s="36">
        <f t="shared" si="7"/>
        <v>0</v>
      </c>
      <c r="G27" s="47"/>
      <c r="H27" s="47"/>
      <c r="I27" s="51" t="str">
        <f t="shared" si="29"/>
        <v/>
      </c>
      <c r="J27" s="53" t="str">
        <f t="shared" si="30"/>
        <v/>
      </c>
      <c r="K27" s="47"/>
      <c r="L27" s="47"/>
      <c r="M27" s="47"/>
      <c r="N27" s="47"/>
      <c r="O27" s="47"/>
      <c r="P27" s="36">
        <f t="shared" si="10"/>
        <v>0</v>
      </c>
      <c r="Q27" s="47"/>
      <c r="R27" s="43">
        <f t="shared" si="11"/>
        <v>0</v>
      </c>
      <c r="S27" s="41">
        <f t="shared" si="12"/>
        <v>0</v>
      </c>
      <c r="T27" s="42">
        <f t="shared" si="13"/>
        <v>0</v>
      </c>
      <c r="U27" s="38">
        <f t="shared" si="14"/>
        <v>0</v>
      </c>
      <c r="V27" s="44" t="str">
        <f t="shared" si="1"/>
        <v/>
      </c>
      <c r="W27" s="39" t="str">
        <f t="shared" si="2"/>
        <v/>
      </c>
      <c r="X27" s="38" t="str">
        <f t="shared" si="3"/>
        <v/>
      </c>
      <c r="Y27" s="39" t="str">
        <f t="shared" si="4"/>
        <v/>
      </c>
      <c r="Z27" s="9"/>
      <c r="AA27" s="2">
        <f t="shared" si="31"/>
        <v>4</v>
      </c>
      <c r="AB27" s="2" t="str">
        <f t="shared" si="32"/>
        <v/>
      </c>
      <c r="AC27" s="20" t="str">
        <f t="shared" si="33"/>
        <v/>
      </c>
      <c r="AD27" s="2">
        <f t="shared" si="34"/>
        <v>0</v>
      </c>
      <c r="AE27" s="21">
        <f t="shared" si="35"/>
        <v>1</v>
      </c>
      <c r="AF27" s="2">
        <f t="shared" si="36"/>
        <v>0</v>
      </c>
      <c r="AG27" s="21">
        <f t="shared" si="37"/>
        <v>1</v>
      </c>
    </row>
    <row r="28" spans="2:33">
      <c r="B28" s="47"/>
      <c r="C28" s="47"/>
      <c r="D28" s="47"/>
      <c r="E28" s="47"/>
      <c r="F28" s="36">
        <f t="shared" si="7"/>
        <v>0</v>
      </c>
      <c r="G28" s="47"/>
      <c r="H28" s="47"/>
      <c r="I28" s="51" t="str">
        <f t="shared" si="29"/>
        <v/>
      </c>
      <c r="J28" s="53" t="str">
        <f t="shared" si="30"/>
        <v/>
      </c>
      <c r="K28" s="47"/>
      <c r="L28" s="47"/>
      <c r="M28" s="47"/>
      <c r="N28" s="47"/>
      <c r="O28" s="47"/>
      <c r="P28" s="36">
        <f t="shared" si="10"/>
        <v>0</v>
      </c>
      <c r="Q28" s="47"/>
      <c r="R28" s="43">
        <f t="shared" si="11"/>
        <v>0</v>
      </c>
      <c r="S28" s="41">
        <f t="shared" si="12"/>
        <v>0</v>
      </c>
      <c r="T28" s="42">
        <f t="shared" si="13"/>
        <v>0</v>
      </c>
      <c r="U28" s="38">
        <f t="shared" si="14"/>
        <v>0</v>
      </c>
      <c r="V28" s="44" t="str">
        <f t="shared" si="1"/>
        <v/>
      </c>
      <c r="W28" s="39" t="str">
        <f t="shared" si="2"/>
        <v/>
      </c>
      <c r="X28" s="38" t="str">
        <f t="shared" si="3"/>
        <v/>
      </c>
      <c r="Y28" s="39" t="str">
        <f t="shared" si="4"/>
        <v/>
      </c>
      <c r="Z28" s="9"/>
      <c r="AA28" s="2">
        <f t="shared" si="31"/>
        <v>4</v>
      </c>
      <c r="AB28" s="2" t="str">
        <f t="shared" si="32"/>
        <v/>
      </c>
      <c r="AC28" s="20" t="str">
        <f t="shared" si="33"/>
        <v/>
      </c>
      <c r="AD28" s="2">
        <f t="shared" si="34"/>
        <v>0</v>
      </c>
      <c r="AE28" s="21">
        <f t="shared" si="35"/>
        <v>1</v>
      </c>
      <c r="AF28" s="2">
        <f t="shared" si="36"/>
        <v>0</v>
      </c>
      <c r="AG28" s="21">
        <f t="shared" si="37"/>
        <v>1</v>
      </c>
    </row>
    <row r="29" spans="2:33">
      <c r="B29" s="47"/>
      <c r="C29" s="47"/>
      <c r="D29" s="47"/>
      <c r="E29" s="47"/>
      <c r="F29" s="36">
        <f t="shared" si="7"/>
        <v>0</v>
      </c>
      <c r="G29" s="47"/>
      <c r="H29" s="47"/>
      <c r="I29" s="51" t="str">
        <f t="shared" si="29"/>
        <v/>
      </c>
      <c r="J29" s="53" t="str">
        <f t="shared" si="30"/>
        <v/>
      </c>
      <c r="K29" s="47"/>
      <c r="L29" s="47"/>
      <c r="M29" s="47"/>
      <c r="N29" s="47"/>
      <c r="O29" s="47"/>
      <c r="P29" s="36">
        <f t="shared" si="10"/>
        <v>0</v>
      </c>
      <c r="Q29" s="47"/>
      <c r="R29" s="43">
        <f t="shared" si="11"/>
        <v>0</v>
      </c>
      <c r="S29" s="41">
        <f t="shared" si="12"/>
        <v>0</v>
      </c>
      <c r="T29" s="42">
        <f t="shared" si="13"/>
        <v>0</v>
      </c>
      <c r="U29" s="38">
        <f t="shared" si="14"/>
        <v>0</v>
      </c>
      <c r="V29" s="44" t="str">
        <f t="shared" si="1"/>
        <v/>
      </c>
      <c r="W29" s="39" t="str">
        <f t="shared" si="2"/>
        <v/>
      </c>
      <c r="X29" s="38" t="str">
        <f t="shared" si="3"/>
        <v/>
      </c>
      <c r="Y29" s="39" t="str">
        <f t="shared" si="4"/>
        <v/>
      </c>
      <c r="Z29" s="9"/>
      <c r="AA29" s="2">
        <f t="shared" si="31"/>
        <v>4</v>
      </c>
      <c r="AB29" s="2" t="str">
        <f t="shared" si="32"/>
        <v/>
      </c>
      <c r="AC29" s="20" t="str">
        <f t="shared" si="33"/>
        <v/>
      </c>
      <c r="AD29" s="2">
        <f t="shared" si="34"/>
        <v>0</v>
      </c>
      <c r="AE29" s="21">
        <f t="shared" si="35"/>
        <v>1</v>
      </c>
      <c r="AF29" s="2">
        <f t="shared" si="36"/>
        <v>0</v>
      </c>
      <c r="AG29" s="21">
        <f t="shared" si="37"/>
        <v>1</v>
      </c>
    </row>
    <row r="30" spans="2:33">
      <c r="B30" s="47"/>
      <c r="C30" s="47"/>
      <c r="D30" s="47"/>
      <c r="E30" s="47"/>
      <c r="F30" s="36">
        <f t="shared" si="7"/>
        <v>0</v>
      </c>
      <c r="G30" s="47"/>
      <c r="H30" s="47"/>
      <c r="I30" s="51" t="str">
        <f t="shared" si="29"/>
        <v/>
      </c>
      <c r="J30" s="53" t="str">
        <f t="shared" si="30"/>
        <v/>
      </c>
      <c r="K30" s="47"/>
      <c r="L30" s="47"/>
      <c r="M30" s="47"/>
      <c r="N30" s="47"/>
      <c r="O30" s="47"/>
      <c r="P30" s="36">
        <f t="shared" si="10"/>
        <v>0</v>
      </c>
      <c r="Q30" s="47"/>
      <c r="R30" s="43">
        <f t="shared" si="11"/>
        <v>0</v>
      </c>
      <c r="S30" s="41">
        <f t="shared" si="12"/>
        <v>0</v>
      </c>
      <c r="T30" s="42">
        <f t="shared" si="13"/>
        <v>0</v>
      </c>
      <c r="U30" s="38">
        <f t="shared" si="14"/>
        <v>0</v>
      </c>
      <c r="V30" s="44" t="str">
        <f t="shared" si="1"/>
        <v/>
      </c>
      <c r="W30" s="39" t="str">
        <f t="shared" si="2"/>
        <v/>
      </c>
      <c r="X30" s="38" t="str">
        <f t="shared" si="3"/>
        <v/>
      </c>
      <c r="Y30" s="39" t="str">
        <f t="shared" si="4"/>
        <v/>
      </c>
      <c r="Z30" s="9"/>
      <c r="AA30" s="2">
        <f t="shared" si="31"/>
        <v>4</v>
      </c>
      <c r="AB30" s="2" t="str">
        <f t="shared" si="32"/>
        <v/>
      </c>
      <c r="AC30" s="20" t="str">
        <f t="shared" si="33"/>
        <v/>
      </c>
      <c r="AD30" s="2">
        <f t="shared" si="34"/>
        <v>0</v>
      </c>
      <c r="AE30" s="21">
        <f t="shared" si="35"/>
        <v>1</v>
      </c>
      <c r="AF30" s="2">
        <f t="shared" si="36"/>
        <v>0</v>
      </c>
      <c r="AG30" s="21">
        <f t="shared" si="37"/>
        <v>1</v>
      </c>
    </row>
    <row r="31" spans="2:33">
      <c r="B31" s="47"/>
      <c r="C31" s="47"/>
      <c r="D31" s="47"/>
      <c r="E31" s="47"/>
      <c r="F31" s="36">
        <f t="shared" si="7"/>
        <v>0</v>
      </c>
      <c r="G31" s="47"/>
      <c r="H31" s="47"/>
      <c r="I31" s="51" t="str">
        <f t="shared" si="29"/>
        <v/>
      </c>
      <c r="J31" s="53" t="str">
        <f t="shared" si="30"/>
        <v/>
      </c>
      <c r="K31" s="47"/>
      <c r="L31" s="47"/>
      <c r="M31" s="47"/>
      <c r="N31" s="47"/>
      <c r="O31" s="47"/>
      <c r="P31" s="36">
        <f t="shared" si="10"/>
        <v>0</v>
      </c>
      <c r="Q31" s="47"/>
      <c r="R31" s="43">
        <f t="shared" si="11"/>
        <v>0</v>
      </c>
      <c r="S31" s="41">
        <f t="shared" si="12"/>
        <v>0</v>
      </c>
      <c r="T31" s="42">
        <f t="shared" si="13"/>
        <v>0</v>
      </c>
      <c r="U31" s="38">
        <f>IF(P31=0,0,(P31/(1.732*K31*M31))*1000)</f>
        <v>0</v>
      </c>
      <c r="V31" s="44" t="str">
        <f t="shared" si="1"/>
        <v/>
      </c>
      <c r="W31" s="39" t="str">
        <f t="shared" si="2"/>
        <v/>
      </c>
      <c r="X31" s="38" t="str">
        <f t="shared" si="3"/>
        <v/>
      </c>
      <c r="Y31" s="39" t="str">
        <f t="shared" si="4"/>
        <v/>
      </c>
      <c r="Z31" s="9"/>
      <c r="AA31" s="2">
        <f t="shared" si="31"/>
        <v>4</v>
      </c>
      <c r="AB31" s="2" t="str">
        <f t="shared" si="32"/>
        <v/>
      </c>
      <c r="AC31" s="20" t="str">
        <f t="shared" si="33"/>
        <v/>
      </c>
      <c r="AD31" s="2">
        <f t="shared" si="34"/>
        <v>0</v>
      </c>
      <c r="AE31" s="21">
        <f t="shared" si="35"/>
        <v>1</v>
      </c>
      <c r="AF31" s="2">
        <f t="shared" si="36"/>
        <v>0</v>
      </c>
      <c r="AG31" s="21">
        <f t="shared" si="37"/>
        <v>1</v>
      </c>
    </row>
    <row r="32" spans="2:33">
      <c r="B32" s="47"/>
      <c r="C32" s="47"/>
      <c r="D32" s="47"/>
      <c r="E32" s="47"/>
      <c r="F32" s="36">
        <f t="shared" ref="F32:F95" si="38">D32*E32</f>
        <v>0</v>
      </c>
      <c r="G32" s="47"/>
      <c r="H32" s="47"/>
      <c r="I32" s="51" t="str">
        <f t="shared" ref="I32:I95" si="39">AB32</f>
        <v/>
      </c>
      <c r="J32" s="53" t="str">
        <f t="shared" ref="J32:J95" si="40">AC32</f>
        <v/>
      </c>
      <c r="K32" s="47"/>
      <c r="L32" s="47"/>
      <c r="M32" s="47"/>
      <c r="N32" s="47"/>
      <c r="O32" s="47"/>
      <c r="P32" s="36">
        <f t="shared" ref="P32:P95" si="41">N32+O32</f>
        <v>0</v>
      </c>
      <c r="Q32" s="47"/>
      <c r="R32" s="43">
        <f t="shared" ref="R32:R95" si="42">IF(N32=0,0,(N32/(1.732*K32*L32))*1000)</f>
        <v>0</v>
      </c>
      <c r="S32" s="41">
        <f t="shared" ref="S32:S95" si="43">IF(O32=0,0,((O32/(1.732*K32*M32))*1000)*Q32)</f>
        <v>0</v>
      </c>
      <c r="T32" s="42">
        <f t="shared" ref="T32:T95" si="44">R32+S32</f>
        <v>0</v>
      </c>
      <c r="U32" s="38">
        <f t="shared" ref="U32:U95" si="45">IF(P32=0,0,(P32/(1.732*K32*M32))*1000)</f>
        <v>0</v>
      </c>
      <c r="V32" s="44" t="str">
        <f t="shared" si="1"/>
        <v/>
      </c>
      <c r="W32" s="39" t="str">
        <f t="shared" si="2"/>
        <v/>
      </c>
      <c r="X32" s="38" t="str">
        <f t="shared" si="3"/>
        <v/>
      </c>
      <c r="Y32" s="39" t="str">
        <f t="shared" si="4"/>
        <v/>
      </c>
      <c r="AA32" s="2">
        <f t="shared" si="31"/>
        <v>4</v>
      </c>
      <c r="AB32" s="2" t="str">
        <f t="shared" si="32"/>
        <v/>
      </c>
      <c r="AC32" s="20" t="str">
        <f t="shared" si="33"/>
        <v/>
      </c>
      <c r="AD32" s="2">
        <f t="shared" si="34"/>
        <v>0</v>
      </c>
      <c r="AE32" s="21">
        <f t="shared" si="35"/>
        <v>1</v>
      </c>
      <c r="AF32" s="2">
        <f t="shared" si="36"/>
        <v>0</v>
      </c>
      <c r="AG32" s="21">
        <f t="shared" si="37"/>
        <v>1</v>
      </c>
    </row>
    <row r="33" spans="2:33">
      <c r="B33" s="47"/>
      <c r="C33" s="47"/>
      <c r="D33" s="47"/>
      <c r="E33" s="47"/>
      <c r="F33" s="36">
        <f t="shared" si="38"/>
        <v>0</v>
      </c>
      <c r="G33" s="47"/>
      <c r="H33" s="47"/>
      <c r="I33" s="51" t="str">
        <f t="shared" si="39"/>
        <v/>
      </c>
      <c r="J33" s="53" t="str">
        <f t="shared" si="40"/>
        <v/>
      </c>
      <c r="K33" s="47"/>
      <c r="L33" s="47"/>
      <c r="M33" s="47"/>
      <c r="N33" s="47"/>
      <c r="O33" s="47"/>
      <c r="P33" s="36">
        <f t="shared" si="41"/>
        <v>0</v>
      </c>
      <c r="Q33" s="47"/>
      <c r="R33" s="43">
        <f t="shared" si="42"/>
        <v>0</v>
      </c>
      <c r="S33" s="41">
        <f t="shared" si="43"/>
        <v>0</v>
      </c>
      <c r="T33" s="42">
        <f t="shared" si="44"/>
        <v>0</v>
      </c>
      <c r="U33" s="38">
        <f t="shared" si="45"/>
        <v>0</v>
      </c>
      <c r="V33" s="44" t="str">
        <f t="shared" si="1"/>
        <v/>
      </c>
      <c r="W33" s="39" t="str">
        <f t="shared" si="2"/>
        <v/>
      </c>
      <c r="X33" s="38" t="str">
        <f t="shared" si="3"/>
        <v/>
      </c>
      <c r="Y33" s="39" t="str">
        <f t="shared" si="4"/>
        <v/>
      </c>
      <c r="AA33" s="2">
        <f t="shared" si="31"/>
        <v>4</v>
      </c>
      <c r="AB33" s="2" t="str">
        <f t="shared" si="32"/>
        <v/>
      </c>
      <c r="AC33" s="20" t="str">
        <f t="shared" si="33"/>
        <v/>
      </c>
      <c r="AD33" s="2">
        <f t="shared" si="34"/>
        <v>0</v>
      </c>
      <c r="AE33" s="21">
        <f t="shared" si="35"/>
        <v>1</v>
      </c>
      <c r="AF33" s="2">
        <f t="shared" si="36"/>
        <v>0</v>
      </c>
      <c r="AG33" s="21">
        <f t="shared" si="37"/>
        <v>1</v>
      </c>
    </row>
    <row r="34" spans="2:33">
      <c r="B34" s="47"/>
      <c r="C34" s="47"/>
      <c r="D34" s="47"/>
      <c r="E34" s="47"/>
      <c r="F34" s="36">
        <f t="shared" si="38"/>
        <v>0</v>
      </c>
      <c r="G34" s="47"/>
      <c r="H34" s="47"/>
      <c r="I34" s="51" t="str">
        <f t="shared" si="39"/>
        <v/>
      </c>
      <c r="J34" s="53" t="str">
        <f t="shared" si="40"/>
        <v/>
      </c>
      <c r="K34" s="47"/>
      <c r="L34" s="47"/>
      <c r="M34" s="47"/>
      <c r="N34" s="47"/>
      <c r="O34" s="47"/>
      <c r="P34" s="36">
        <f t="shared" si="41"/>
        <v>0</v>
      </c>
      <c r="Q34" s="47"/>
      <c r="R34" s="43">
        <f t="shared" si="42"/>
        <v>0</v>
      </c>
      <c r="S34" s="41">
        <f t="shared" si="43"/>
        <v>0</v>
      </c>
      <c r="T34" s="42">
        <f t="shared" si="44"/>
        <v>0</v>
      </c>
      <c r="U34" s="38">
        <f t="shared" si="45"/>
        <v>0</v>
      </c>
      <c r="V34" s="44" t="str">
        <f t="shared" si="1"/>
        <v/>
      </c>
      <c r="W34" s="39" t="str">
        <f t="shared" si="2"/>
        <v/>
      </c>
      <c r="X34" s="38" t="str">
        <f t="shared" si="3"/>
        <v/>
      </c>
      <c r="Y34" s="39" t="str">
        <f t="shared" si="4"/>
        <v/>
      </c>
      <c r="AA34" s="2">
        <f t="shared" si="31"/>
        <v>4</v>
      </c>
      <c r="AB34" s="2" t="str">
        <f t="shared" si="32"/>
        <v/>
      </c>
      <c r="AC34" s="20" t="str">
        <f t="shared" si="33"/>
        <v/>
      </c>
      <c r="AD34" s="2">
        <f t="shared" si="34"/>
        <v>0</v>
      </c>
      <c r="AE34" s="21">
        <f t="shared" si="35"/>
        <v>1</v>
      </c>
      <c r="AF34" s="2">
        <f t="shared" si="36"/>
        <v>0</v>
      </c>
      <c r="AG34" s="21">
        <f t="shared" si="37"/>
        <v>1</v>
      </c>
    </row>
    <row r="35" spans="2:33">
      <c r="B35" s="47"/>
      <c r="C35" s="47"/>
      <c r="D35" s="47"/>
      <c r="E35" s="47"/>
      <c r="F35" s="36">
        <f t="shared" si="38"/>
        <v>0</v>
      </c>
      <c r="G35" s="47"/>
      <c r="H35" s="47"/>
      <c r="I35" s="51" t="str">
        <f t="shared" si="39"/>
        <v/>
      </c>
      <c r="J35" s="53" t="str">
        <f t="shared" si="40"/>
        <v/>
      </c>
      <c r="K35" s="47"/>
      <c r="L35" s="47"/>
      <c r="M35" s="47"/>
      <c r="N35" s="47"/>
      <c r="O35" s="47"/>
      <c r="P35" s="36">
        <f t="shared" si="41"/>
        <v>0</v>
      </c>
      <c r="Q35" s="47"/>
      <c r="R35" s="43">
        <f t="shared" si="42"/>
        <v>0</v>
      </c>
      <c r="S35" s="41">
        <f t="shared" si="43"/>
        <v>0</v>
      </c>
      <c r="T35" s="42">
        <f t="shared" si="44"/>
        <v>0</v>
      </c>
      <c r="U35" s="38">
        <f t="shared" si="45"/>
        <v>0</v>
      </c>
      <c r="V35" s="44" t="str">
        <f t="shared" si="1"/>
        <v/>
      </c>
      <c r="W35" s="39" t="str">
        <f t="shared" si="2"/>
        <v/>
      </c>
      <c r="X35" s="38" t="str">
        <f t="shared" si="3"/>
        <v/>
      </c>
      <c r="Y35" s="39" t="str">
        <f t="shared" si="4"/>
        <v/>
      </c>
      <c r="AA35" s="2">
        <f t="shared" si="31"/>
        <v>4</v>
      </c>
      <c r="AB35" s="2" t="str">
        <f t="shared" si="32"/>
        <v/>
      </c>
      <c r="AC35" s="20" t="str">
        <f t="shared" si="33"/>
        <v/>
      </c>
      <c r="AD35" s="2">
        <f t="shared" si="34"/>
        <v>0</v>
      </c>
      <c r="AE35" s="21">
        <f t="shared" si="35"/>
        <v>1</v>
      </c>
      <c r="AF35" s="2">
        <f t="shared" si="36"/>
        <v>0</v>
      </c>
      <c r="AG35" s="21">
        <f t="shared" si="37"/>
        <v>1</v>
      </c>
    </row>
    <row r="36" spans="2:33">
      <c r="B36" s="47"/>
      <c r="C36" s="47"/>
      <c r="D36" s="47"/>
      <c r="E36" s="47"/>
      <c r="F36" s="36">
        <f t="shared" si="38"/>
        <v>0</v>
      </c>
      <c r="G36" s="47"/>
      <c r="H36" s="47"/>
      <c r="I36" s="51" t="str">
        <f t="shared" si="39"/>
        <v/>
      </c>
      <c r="J36" s="53" t="str">
        <f t="shared" si="40"/>
        <v/>
      </c>
      <c r="K36" s="47"/>
      <c r="L36" s="47"/>
      <c r="M36" s="47"/>
      <c r="N36" s="47"/>
      <c r="O36" s="47"/>
      <c r="P36" s="36">
        <f t="shared" si="41"/>
        <v>0</v>
      </c>
      <c r="Q36" s="47"/>
      <c r="R36" s="43">
        <f t="shared" si="42"/>
        <v>0</v>
      </c>
      <c r="S36" s="41">
        <f t="shared" si="43"/>
        <v>0</v>
      </c>
      <c r="T36" s="42">
        <f t="shared" si="44"/>
        <v>0</v>
      </c>
      <c r="U36" s="38">
        <f t="shared" si="45"/>
        <v>0</v>
      </c>
      <c r="V36" s="44" t="str">
        <f t="shared" si="1"/>
        <v/>
      </c>
      <c r="W36" s="39" t="str">
        <f t="shared" si="2"/>
        <v/>
      </c>
      <c r="X36" s="38" t="str">
        <f t="shared" si="3"/>
        <v/>
      </c>
      <c r="Y36" s="39" t="str">
        <f t="shared" si="4"/>
        <v/>
      </c>
      <c r="AA36" s="2">
        <f t="shared" si="31"/>
        <v>4</v>
      </c>
      <c r="AB36" s="2" t="str">
        <f t="shared" si="32"/>
        <v/>
      </c>
      <c r="AC36" s="20" t="str">
        <f t="shared" si="33"/>
        <v/>
      </c>
      <c r="AD36" s="2">
        <f t="shared" si="34"/>
        <v>0</v>
      </c>
      <c r="AE36" s="21">
        <f t="shared" si="35"/>
        <v>1</v>
      </c>
      <c r="AF36" s="2">
        <f t="shared" si="36"/>
        <v>0</v>
      </c>
      <c r="AG36" s="21">
        <f t="shared" si="37"/>
        <v>1</v>
      </c>
    </row>
    <row r="37" spans="2:33">
      <c r="B37" s="47"/>
      <c r="C37" s="47"/>
      <c r="D37" s="47"/>
      <c r="E37" s="47"/>
      <c r="F37" s="36">
        <f t="shared" si="38"/>
        <v>0</v>
      </c>
      <c r="G37" s="47"/>
      <c r="H37" s="47"/>
      <c r="I37" s="51" t="str">
        <f t="shared" si="39"/>
        <v/>
      </c>
      <c r="J37" s="53" t="str">
        <f t="shared" si="40"/>
        <v/>
      </c>
      <c r="K37" s="47"/>
      <c r="L37" s="47"/>
      <c r="M37" s="47"/>
      <c r="N37" s="47"/>
      <c r="O37" s="47"/>
      <c r="P37" s="36">
        <f t="shared" si="41"/>
        <v>0</v>
      </c>
      <c r="Q37" s="47"/>
      <c r="R37" s="43">
        <f t="shared" si="42"/>
        <v>0</v>
      </c>
      <c r="S37" s="41">
        <f t="shared" si="43"/>
        <v>0</v>
      </c>
      <c r="T37" s="42">
        <f t="shared" si="44"/>
        <v>0</v>
      </c>
      <c r="U37" s="38">
        <f t="shared" si="45"/>
        <v>0</v>
      </c>
      <c r="V37" s="44" t="str">
        <f t="shared" si="1"/>
        <v/>
      </c>
      <c r="W37" s="39" t="str">
        <f t="shared" si="2"/>
        <v/>
      </c>
      <c r="X37" s="38" t="str">
        <f t="shared" si="3"/>
        <v/>
      </c>
      <c r="Y37" s="39" t="str">
        <f t="shared" si="4"/>
        <v/>
      </c>
      <c r="AA37" s="2">
        <f t="shared" si="31"/>
        <v>4</v>
      </c>
      <c r="AB37" s="2" t="str">
        <f t="shared" si="32"/>
        <v/>
      </c>
      <c r="AC37" s="20" t="str">
        <f t="shared" si="33"/>
        <v/>
      </c>
      <c r="AD37" s="2">
        <f t="shared" si="34"/>
        <v>0</v>
      </c>
      <c r="AE37" s="21">
        <f t="shared" si="35"/>
        <v>1</v>
      </c>
      <c r="AF37" s="2">
        <f t="shared" si="36"/>
        <v>0</v>
      </c>
      <c r="AG37" s="21">
        <f t="shared" si="37"/>
        <v>1</v>
      </c>
    </row>
    <row r="38" spans="2:33">
      <c r="B38" s="47"/>
      <c r="C38" s="47"/>
      <c r="D38" s="47"/>
      <c r="E38" s="47"/>
      <c r="F38" s="36">
        <f t="shared" si="38"/>
        <v>0</v>
      </c>
      <c r="G38" s="47"/>
      <c r="H38" s="47"/>
      <c r="I38" s="51" t="str">
        <f t="shared" si="39"/>
        <v/>
      </c>
      <c r="J38" s="53" t="str">
        <f t="shared" si="40"/>
        <v/>
      </c>
      <c r="K38" s="47"/>
      <c r="L38" s="47"/>
      <c r="M38" s="47"/>
      <c r="N38" s="47"/>
      <c r="O38" s="47"/>
      <c r="P38" s="36">
        <f t="shared" si="41"/>
        <v>0</v>
      </c>
      <c r="Q38" s="47"/>
      <c r="R38" s="43">
        <f t="shared" si="42"/>
        <v>0</v>
      </c>
      <c r="S38" s="41">
        <f t="shared" si="43"/>
        <v>0</v>
      </c>
      <c r="T38" s="42">
        <f t="shared" si="44"/>
        <v>0</v>
      </c>
      <c r="U38" s="38">
        <f t="shared" si="45"/>
        <v>0</v>
      </c>
      <c r="V38" s="44" t="str">
        <f t="shared" si="1"/>
        <v/>
      </c>
      <c r="W38" s="39" t="str">
        <f t="shared" si="2"/>
        <v/>
      </c>
      <c r="X38" s="38" t="str">
        <f t="shared" si="3"/>
        <v/>
      </c>
      <c r="Y38" s="39" t="str">
        <f t="shared" si="4"/>
        <v/>
      </c>
      <c r="AA38" s="2">
        <f t="shared" si="31"/>
        <v>4</v>
      </c>
      <c r="AB38" s="2" t="str">
        <f t="shared" si="32"/>
        <v/>
      </c>
      <c r="AC38" s="20" t="str">
        <f t="shared" si="33"/>
        <v/>
      </c>
      <c r="AD38" s="2">
        <f t="shared" si="34"/>
        <v>0</v>
      </c>
      <c r="AE38" s="21">
        <f t="shared" si="35"/>
        <v>1</v>
      </c>
      <c r="AF38" s="2">
        <f t="shared" si="36"/>
        <v>0</v>
      </c>
      <c r="AG38" s="21">
        <f t="shared" si="37"/>
        <v>1</v>
      </c>
    </row>
    <row r="39" spans="2:33">
      <c r="B39" s="47"/>
      <c r="C39" s="47"/>
      <c r="D39" s="47"/>
      <c r="E39" s="47"/>
      <c r="F39" s="36">
        <f t="shared" si="38"/>
        <v>0</v>
      </c>
      <c r="G39" s="47"/>
      <c r="H39" s="47"/>
      <c r="I39" s="51" t="str">
        <f t="shared" si="39"/>
        <v/>
      </c>
      <c r="J39" s="53" t="str">
        <f t="shared" si="40"/>
        <v/>
      </c>
      <c r="K39" s="47"/>
      <c r="L39" s="47"/>
      <c r="M39" s="47"/>
      <c r="N39" s="47"/>
      <c r="O39" s="47"/>
      <c r="P39" s="36">
        <f t="shared" si="41"/>
        <v>0</v>
      </c>
      <c r="Q39" s="47"/>
      <c r="R39" s="43">
        <f t="shared" si="42"/>
        <v>0</v>
      </c>
      <c r="S39" s="41">
        <f t="shared" si="43"/>
        <v>0</v>
      </c>
      <c r="T39" s="42">
        <f t="shared" si="44"/>
        <v>0</v>
      </c>
      <c r="U39" s="38">
        <f t="shared" si="45"/>
        <v>0</v>
      </c>
      <c r="V39" s="44" t="str">
        <f t="shared" ref="V39:V70" si="46">IF(T39=0,"",(1.732*T39*((AB39*AF39)+(AC39*AG39))*(D39/1000))/E39)</f>
        <v/>
      </c>
      <c r="W39" s="39" t="str">
        <f t="shared" ref="W39:W70" si="47">IF(V39="","",(V39/K39))</f>
        <v/>
      </c>
      <c r="X39" s="38" t="str">
        <f t="shared" ref="X39:X70" si="48">IF(U39=0,"",(1.732*U39*((AB39*AD39)+(AC39*AE39))*(D39/1000))/E39)</f>
        <v/>
      </c>
      <c r="Y39" s="39" t="str">
        <f t="shared" ref="Y39:Y70" si="49">IF(X39="","",(X39/K39))</f>
        <v/>
      </c>
      <c r="AA39" s="2">
        <f t="shared" si="31"/>
        <v>4</v>
      </c>
      <c r="AB39" s="2" t="str">
        <f t="shared" si="32"/>
        <v/>
      </c>
      <c r="AC39" s="20" t="str">
        <f t="shared" si="33"/>
        <v/>
      </c>
      <c r="AD39" s="2">
        <f t="shared" si="34"/>
        <v>0</v>
      </c>
      <c r="AE39" s="21">
        <f t="shared" si="35"/>
        <v>1</v>
      </c>
      <c r="AF39" s="2">
        <f t="shared" si="36"/>
        <v>0</v>
      </c>
      <c r="AG39" s="21">
        <f t="shared" si="37"/>
        <v>1</v>
      </c>
    </row>
    <row r="40" spans="2:33">
      <c r="B40" s="47"/>
      <c r="C40" s="47"/>
      <c r="D40" s="47"/>
      <c r="E40" s="47"/>
      <c r="F40" s="36">
        <f t="shared" si="38"/>
        <v>0</v>
      </c>
      <c r="G40" s="47"/>
      <c r="H40" s="47"/>
      <c r="I40" s="51" t="str">
        <f t="shared" si="39"/>
        <v/>
      </c>
      <c r="J40" s="53" t="str">
        <f t="shared" si="40"/>
        <v/>
      </c>
      <c r="K40" s="47"/>
      <c r="L40" s="47"/>
      <c r="M40" s="47"/>
      <c r="N40" s="47"/>
      <c r="O40" s="47"/>
      <c r="P40" s="36">
        <f t="shared" si="41"/>
        <v>0</v>
      </c>
      <c r="Q40" s="47"/>
      <c r="R40" s="43">
        <f t="shared" si="42"/>
        <v>0</v>
      </c>
      <c r="S40" s="41">
        <f t="shared" si="43"/>
        <v>0</v>
      </c>
      <c r="T40" s="42">
        <f t="shared" si="44"/>
        <v>0</v>
      </c>
      <c r="U40" s="38">
        <f t="shared" si="45"/>
        <v>0</v>
      </c>
      <c r="V40" s="44" t="str">
        <f t="shared" si="46"/>
        <v/>
      </c>
      <c r="W40" s="39" t="str">
        <f t="shared" si="47"/>
        <v/>
      </c>
      <c r="X40" s="38" t="str">
        <f t="shared" si="48"/>
        <v/>
      </c>
      <c r="Y40" s="39" t="str">
        <f t="shared" si="49"/>
        <v/>
      </c>
      <c r="AA40" s="2">
        <f t="shared" si="31"/>
        <v>4</v>
      </c>
      <c r="AB40" s="2" t="str">
        <f t="shared" si="32"/>
        <v/>
      </c>
      <c r="AC40" s="20" t="str">
        <f t="shared" si="33"/>
        <v/>
      </c>
      <c r="AD40" s="2">
        <f t="shared" si="34"/>
        <v>0</v>
      </c>
      <c r="AE40" s="21">
        <f t="shared" si="35"/>
        <v>1</v>
      </c>
      <c r="AF40" s="2">
        <f t="shared" si="36"/>
        <v>0</v>
      </c>
      <c r="AG40" s="21">
        <f t="shared" si="37"/>
        <v>1</v>
      </c>
    </row>
    <row r="41" spans="2:33">
      <c r="B41" s="47"/>
      <c r="C41" s="47"/>
      <c r="D41" s="47"/>
      <c r="E41" s="47"/>
      <c r="F41" s="36">
        <f t="shared" si="38"/>
        <v>0</v>
      </c>
      <c r="G41" s="47"/>
      <c r="H41" s="47"/>
      <c r="I41" s="51" t="str">
        <f t="shared" si="39"/>
        <v/>
      </c>
      <c r="J41" s="53" t="str">
        <f t="shared" si="40"/>
        <v/>
      </c>
      <c r="K41" s="47"/>
      <c r="L41" s="47"/>
      <c r="M41" s="47"/>
      <c r="N41" s="47"/>
      <c r="O41" s="47"/>
      <c r="P41" s="36">
        <f t="shared" si="41"/>
        <v>0</v>
      </c>
      <c r="Q41" s="47"/>
      <c r="R41" s="43">
        <f t="shared" si="42"/>
        <v>0</v>
      </c>
      <c r="S41" s="41">
        <f t="shared" si="43"/>
        <v>0</v>
      </c>
      <c r="T41" s="42">
        <f t="shared" si="44"/>
        <v>0</v>
      </c>
      <c r="U41" s="38">
        <f t="shared" si="45"/>
        <v>0</v>
      </c>
      <c r="V41" s="44" t="str">
        <f t="shared" si="46"/>
        <v/>
      </c>
      <c r="W41" s="39" t="str">
        <f t="shared" si="47"/>
        <v/>
      </c>
      <c r="X41" s="38" t="str">
        <f t="shared" si="48"/>
        <v/>
      </c>
      <c r="Y41" s="39" t="str">
        <f t="shared" si="49"/>
        <v/>
      </c>
      <c r="AA41" s="2">
        <f t="shared" si="31"/>
        <v>4</v>
      </c>
      <c r="AB41" s="2" t="str">
        <f t="shared" si="32"/>
        <v/>
      </c>
      <c r="AC41" s="20" t="str">
        <f t="shared" si="33"/>
        <v/>
      </c>
      <c r="AD41" s="2">
        <f t="shared" si="34"/>
        <v>0</v>
      </c>
      <c r="AE41" s="21">
        <f t="shared" si="35"/>
        <v>1</v>
      </c>
      <c r="AF41" s="2">
        <f t="shared" si="36"/>
        <v>0</v>
      </c>
      <c r="AG41" s="21">
        <f t="shared" si="37"/>
        <v>1</v>
      </c>
    </row>
    <row r="42" spans="2:33">
      <c r="B42" s="47"/>
      <c r="C42" s="47"/>
      <c r="D42" s="47"/>
      <c r="E42" s="47"/>
      <c r="F42" s="36">
        <f t="shared" si="38"/>
        <v>0</v>
      </c>
      <c r="G42" s="47"/>
      <c r="H42" s="47"/>
      <c r="I42" s="51" t="str">
        <f t="shared" si="39"/>
        <v/>
      </c>
      <c r="J42" s="53" t="str">
        <f t="shared" si="40"/>
        <v/>
      </c>
      <c r="K42" s="47"/>
      <c r="L42" s="47"/>
      <c r="M42" s="47"/>
      <c r="N42" s="47"/>
      <c r="O42" s="47"/>
      <c r="P42" s="36">
        <f t="shared" si="41"/>
        <v>0</v>
      </c>
      <c r="Q42" s="47"/>
      <c r="R42" s="43">
        <f t="shared" si="42"/>
        <v>0</v>
      </c>
      <c r="S42" s="41">
        <f t="shared" si="43"/>
        <v>0</v>
      </c>
      <c r="T42" s="42">
        <f t="shared" si="44"/>
        <v>0</v>
      </c>
      <c r="U42" s="38">
        <f t="shared" si="45"/>
        <v>0</v>
      </c>
      <c r="V42" s="44" t="str">
        <f t="shared" si="46"/>
        <v/>
      </c>
      <c r="W42" s="39" t="str">
        <f t="shared" si="47"/>
        <v/>
      </c>
      <c r="X42" s="38" t="str">
        <f t="shared" si="48"/>
        <v/>
      </c>
      <c r="Y42" s="39" t="str">
        <f t="shared" si="49"/>
        <v/>
      </c>
      <c r="AA42" s="2">
        <f t="shared" si="31"/>
        <v>4</v>
      </c>
      <c r="AB42" s="2" t="str">
        <f t="shared" si="32"/>
        <v/>
      </c>
      <c r="AC42" s="20" t="str">
        <f t="shared" si="33"/>
        <v/>
      </c>
      <c r="AD42" s="2">
        <f t="shared" si="34"/>
        <v>0</v>
      </c>
      <c r="AE42" s="21">
        <f t="shared" si="35"/>
        <v>1</v>
      </c>
      <c r="AF42" s="2">
        <f t="shared" si="36"/>
        <v>0</v>
      </c>
      <c r="AG42" s="21">
        <f t="shared" si="37"/>
        <v>1</v>
      </c>
    </row>
    <row r="43" spans="2:33">
      <c r="B43" s="47"/>
      <c r="C43" s="47"/>
      <c r="D43" s="47"/>
      <c r="E43" s="47"/>
      <c r="F43" s="36">
        <f t="shared" si="38"/>
        <v>0</v>
      </c>
      <c r="G43" s="47"/>
      <c r="H43" s="47"/>
      <c r="I43" s="51" t="str">
        <f t="shared" si="39"/>
        <v/>
      </c>
      <c r="J43" s="53" t="str">
        <f t="shared" si="40"/>
        <v/>
      </c>
      <c r="K43" s="47"/>
      <c r="L43" s="47"/>
      <c r="M43" s="47"/>
      <c r="N43" s="47"/>
      <c r="O43" s="47"/>
      <c r="P43" s="36">
        <f t="shared" si="41"/>
        <v>0</v>
      </c>
      <c r="Q43" s="47"/>
      <c r="R43" s="43">
        <f t="shared" si="42"/>
        <v>0</v>
      </c>
      <c r="S43" s="41">
        <f t="shared" si="43"/>
        <v>0</v>
      </c>
      <c r="T43" s="42">
        <f t="shared" si="44"/>
        <v>0</v>
      </c>
      <c r="U43" s="38">
        <f t="shared" si="45"/>
        <v>0</v>
      </c>
      <c r="V43" s="44" t="str">
        <f t="shared" si="46"/>
        <v/>
      </c>
      <c r="W43" s="39" t="str">
        <f t="shared" si="47"/>
        <v/>
      </c>
      <c r="X43" s="38" t="str">
        <f t="shared" si="48"/>
        <v/>
      </c>
      <c r="Y43" s="39" t="str">
        <f t="shared" si="49"/>
        <v/>
      </c>
      <c r="AA43" s="2">
        <f t="shared" si="31"/>
        <v>4</v>
      </c>
      <c r="AB43" s="2" t="str">
        <f t="shared" si="32"/>
        <v/>
      </c>
      <c r="AC43" s="20" t="str">
        <f t="shared" si="33"/>
        <v/>
      </c>
      <c r="AD43" s="2">
        <f t="shared" si="34"/>
        <v>0</v>
      </c>
      <c r="AE43" s="21">
        <f t="shared" si="35"/>
        <v>1</v>
      </c>
      <c r="AF43" s="2">
        <f t="shared" si="36"/>
        <v>0</v>
      </c>
      <c r="AG43" s="21">
        <f t="shared" si="37"/>
        <v>1</v>
      </c>
    </row>
    <row r="44" spans="2:33">
      <c r="B44" s="47"/>
      <c r="C44" s="47"/>
      <c r="D44" s="47"/>
      <c r="E44" s="47"/>
      <c r="F44" s="36">
        <f t="shared" si="38"/>
        <v>0</v>
      </c>
      <c r="G44" s="47"/>
      <c r="H44" s="47"/>
      <c r="I44" s="51" t="str">
        <f t="shared" si="39"/>
        <v/>
      </c>
      <c r="J44" s="53" t="str">
        <f t="shared" si="40"/>
        <v/>
      </c>
      <c r="K44" s="47"/>
      <c r="L44" s="47"/>
      <c r="M44" s="47"/>
      <c r="N44" s="47"/>
      <c r="O44" s="47"/>
      <c r="P44" s="36">
        <f t="shared" si="41"/>
        <v>0</v>
      </c>
      <c r="Q44" s="47"/>
      <c r="R44" s="43">
        <f t="shared" si="42"/>
        <v>0</v>
      </c>
      <c r="S44" s="41">
        <f t="shared" si="43"/>
        <v>0</v>
      </c>
      <c r="T44" s="42">
        <f t="shared" si="44"/>
        <v>0</v>
      </c>
      <c r="U44" s="38">
        <f t="shared" si="45"/>
        <v>0</v>
      </c>
      <c r="V44" s="44" t="str">
        <f t="shared" si="46"/>
        <v/>
      </c>
      <c r="W44" s="39" t="str">
        <f t="shared" si="47"/>
        <v/>
      </c>
      <c r="X44" s="38" t="str">
        <f t="shared" si="48"/>
        <v/>
      </c>
      <c r="Y44" s="39" t="str">
        <f t="shared" si="49"/>
        <v/>
      </c>
      <c r="AA44" s="2">
        <f t="shared" si="31"/>
        <v>4</v>
      </c>
      <c r="AB44" s="2" t="str">
        <f t="shared" si="32"/>
        <v/>
      </c>
      <c r="AC44" s="20" t="str">
        <f t="shared" si="33"/>
        <v/>
      </c>
      <c r="AD44" s="2">
        <f t="shared" si="34"/>
        <v>0</v>
      </c>
      <c r="AE44" s="21">
        <f t="shared" si="35"/>
        <v>1</v>
      </c>
      <c r="AF44" s="2">
        <f t="shared" si="36"/>
        <v>0</v>
      </c>
      <c r="AG44" s="21">
        <f t="shared" si="37"/>
        <v>1</v>
      </c>
    </row>
    <row r="45" spans="2:33">
      <c r="B45" s="47"/>
      <c r="C45" s="47"/>
      <c r="D45" s="47"/>
      <c r="E45" s="47"/>
      <c r="F45" s="36">
        <f t="shared" si="38"/>
        <v>0</v>
      </c>
      <c r="G45" s="47"/>
      <c r="H45" s="47"/>
      <c r="I45" s="51" t="str">
        <f t="shared" si="39"/>
        <v/>
      </c>
      <c r="J45" s="53" t="str">
        <f t="shared" si="40"/>
        <v/>
      </c>
      <c r="K45" s="47"/>
      <c r="L45" s="47"/>
      <c r="M45" s="47"/>
      <c r="N45" s="47"/>
      <c r="O45" s="47"/>
      <c r="P45" s="36">
        <f t="shared" si="41"/>
        <v>0</v>
      </c>
      <c r="Q45" s="47"/>
      <c r="R45" s="43">
        <f t="shared" si="42"/>
        <v>0</v>
      </c>
      <c r="S45" s="41">
        <f t="shared" si="43"/>
        <v>0</v>
      </c>
      <c r="T45" s="42">
        <f t="shared" si="44"/>
        <v>0</v>
      </c>
      <c r="U45" s="38">
        <f t="shared" si="45"/>
        <v>0</v>
      </c>
      <c r="V45" s="44" t="str">
        <f t="shared" si="46"/>
        <v/>
      </c>
      <c r="W45" s="39" t="str">
        <f t="shared" si="47"/>
        <v/>
      </c>
      <c r="X45" s="38" t="str">
        <f t="shared" si="48"/>
        <v/>
      </c>
      <c r="Y45" s="39" t="str">
        <f t="shared" si="49"/>
        <v/>
      </c>
      <c r="AA45" s="2">
        <f t="shared" si="31"/>
        <v>4</v>
      </c>
      <c r="AB45" s="2" t="str">
        <f t="shared" si="32"/>
        <v/>
      </c>
      <c r="AC45" s="20" t="str">
        <f t="shared" si="33"/>
        <v/>
      </c>
      <c r="AD45" s="2">
        <f t="shared" si="34"/>
        <v>0</v>
      </c>
      <c r="AE45" s="21">
        <f t="shared" si="35"/>
        <v>1</v>
      </c>
      <c r="AF45" s="2">
        <f t="shared" si="36"/>
        <v>0</v>
      </c>
      <c r="AG45" s="21">
        <f t="shared" si="37"/>
        <v>1</v>
      </c>
    </row>
    <row r="46" spans="2:33">
      <c r="B46" s="47"/>
      <c r="C46" s="47"/>
      <c r="D46" s="47"/>
      <c r="E46" s="47"/>
      <c r="F46" s="36">
        <f t="shared" si="38"/>
        <v>0</v>
      </c>
      <c r="G46" s="47"/>
      <c r="H46" s="47"/>
      <c r="I46" s="51" t="str">
        <f t="shared" si="39"/>
        <v/>
      </c>
      <c r="J46" s="53" t="str">
        <f t="shared" si="40"/>
        <v/>
      </c>
      <c r="K46" s="47"/>
      <c r="L46" s="47"/>
      <c r="M46" s="47"/>
      <c r="N46" s="47"/>
      <c r="O46" s="47"/>
      <c r="P46" s="36">
        <f t="shared" si="41"/>
        <v>0</v>
      </c>
      <c r="Q46" s="47"/>
      <c r="R46" s="43">
        <f t="shared" si="42"/>
        <v>0</v>
      </c>
      <c r="S46" s="41">
        <f t="shared" si="43"/>
        <v>0</v>
      </c>
      <c r="T46" s="42">
        <f t="shared" si="44"/>
        <v>0</v>
      </c>
      <c r="U46" s="38">
        <f t="shared" si="45"/>
        <v>0</v>
      </c>
      <c r="V46" s="44" t="str">
        <f t="shared" si="46"/>
        <v/>
      </c>
      <c r="W46" s="39" t="str">
        <f t="shared" si="47"/>
        <v/>
      </c>
      <c r="X46" s="38" t="str">
        <f t="shared" si="48"/>
        <v/>
      </c>
      <c r="Y46" s="39" t="str">
        <f t="shared" si="49"/>
        <v/>
      </c>
      <c r="AA46" s="2">
        <f t="shared" si="31"/>
        <v>4</v>
      </c>
      <c r="AB46" s="2" t="str">
        <f t="shared" si="32"/>
        <v/>
      </c>
      <c r="AC46" s="20" t="str">
        <f t="shared" si="33"/>
        <v/>
      </c>
      <c r="AD46" s="2">
        <f t="shared" si="34"/>
        <v>0</v>
      </c>
      <c r="AE46" s="21">
        <f t="shared" si="35"/>
        <v>1</v>
      </c>
      <c r="AF46" s="2">
        <f t="shared" si="36"/>
        <v>0</v>
      </c>
      <c r="AG46" s="21">
        <f t="shared" si="37"/>
        <v>1</v>
      </c>
    </row>
    <row r="47" spans="2:33">
      <c r="B47" s="47"/>
      <c r="C47" s="47"/>
      <c r="D47" s="47"/>
      <c r="E47" s="47"/>
      <c r="F47" s="36">
        <f t="shared" si="38"/>
        <v>0</v>
      </c>
      <c r="G47" s="47"/>
      <c r="H47" s="47"/>
      <c r="I47" s="51" t="str">
        <f t="shared" si="39"/>
        <v/>
      </c>
      <c r="J47" s="53" t="str">
        <f t="shared" si="40"/>
        <v/>
      </c>
      <c r="K47" s="47"/>
      <c r="L47" s="47"/>
      <c r="M47" s="47"/>
      <c r="N47" s="47"/>
      <c r="O47" s="47"/>
      <c r="P47" s="36">
        <f t="shared" si="41"/>
        <v>0</v>
      </c>
      <c r="Q47" s="47"/>
      <c r="R47" s="43">
        <f t="shared" si="42"/>
        <v>0</v>
      </c>
      <c r="S47" s="41">
        <f t="shared" si="43"/>
        <v>0</v>
      </c>
      <c r="T47" s="42">
        <f t="shared" si="44"/>
        <v>0</v>
      </c>
      <c r="U47" s="38">
        <f t="shared" si="45"/>
        <v>0</v>
      </c>
      <c r="V47" s="44" t="str">
        <f t="shared" si="46"/>
        <v/>
      </c>
      <c r="W47" s="39" t="str">
        <f t="shared" si="47"/>
        <v/>
      </c>
      <c r="X47" s="38" t="str">
        <f t="shared" si="48"/>
        <v/>
      </c>
      <c r="Y47" s="39" t="str">
        <f t="shared" si="49"/>
        <v/>
      </c>
      <c r="AA47" s="2">
        <f t="shared" si="31"/>
        <v>4</v>
      </c>
      <c r="AB47" s="2" t="str">
        <f t="shared" si="32"/>
        <v/>
      </c>
      <c r="AC47" s="20" t="str">
        <f t="shared" si="33"/>
        <v/>
      </c>
      <c r="AD47" s="2">
        <f t="shared" si="34"/>
        <v>0</v>
      </c>
      <c r="AE47" s="21">
        <f t="shared" si="35"/>
        <v>1</v>
      </c>
      <c r="AF47" s="2">
        <f t="shared" si="36"/>
        <v>0</v>
      </c>
      <c r="AG47" s="21">
        <f t="shared" si="37"/>
        <v>1</v>
      </c>
    </row>
    <row r="48" spans="2:33">
      <c r="B48" s="47"/>
      <c r="C48" s="47"/>
      <c r="D48" s="47"/>
      <c r="E48" s="47"/>
      <c r="F48" s="36">
        <f t="shared" si="38"/>
        <v>0</v>
      </c>
      <c r="G48" s="47"/>
      <c r="H48" s="47"/>
      <c r="I48" s="51" t="str">
        <f t="shared" si="39"/>
        <v/>
      </c>
      <c r="J48" s="53" t="str">
        <f t="shared" si="40"/>
        <v/>
      </c>
      <c r="K48" s="47"/>
      <c r="L48" s="47"/>
      <c r="M48" s="47"/>
      <c r="N48" s="47"/>
      <c r="O48" s="47"/>
      <c r="P48" s="36">
        <f t="shared" si="41"/>
        <v>0</v>
      </c>
      <c r="Q48" s="47"/>
      <c r="R48" s="43">
        <f t="shared" si="42"/>
        <v>0</v>
      </c>
      <c r="S48" s="41">
        <f t="shared" si="43"/>
        <v>0</v>
      </c>
      <c r="T48" s="42">
        <f t="shared" si="44"/>
        <v>0</v>
      </c>
      <c r="U48" s="38">
        <f t="shared" si="45"/>
        <v>0</v>
      </c>
      <c r="V48" s="44" t="str">
        <f t="shared" si="46"/>
        <v/>
      </c>
      <c r="W48" s="39" t="str">
        <f t="shared" si="47"/>
        <v/>
      </c>
      <c r="X48" s="38" t="str">
        <f t="shared" si="48"/>
        <v/>
      </c>
      <c r="Y48" s="39" t="str">
        <f t="shared" si="49"/>
        <v/>
      </c>
      <c r="AA48" s="2">
        <f t="shared" si="31"/>
        <v>4</v>
      </c>
      <c r="AB48" s="2" t="str">
        <f t="shared" si="32"/>
        <v/>
      </c>
      <c r="AC48" s="20" t="str">
        <f t="shared" si="33"/>
        <v/>
      </c>
      <c r="AD48" s="2">
        <f t="shared" si="34"/>
        <v>0</v>
      </c>
      <c r="AE48" s="21">
        <f t="shared" si="35"/>
        <v>1</v>
      </c>
      <c r="AF48" s="2">
        <f t="shared" si="36"/>
        <v>0</v>
      </c>
      <c r="AG48" s="21">
        <f t="shared" si="37"/>
        <v>1</v>
      </c>
    </row>
    <row r="49" spans="2:33">
      <c r="B49" s="47"/>
      <c r="C49" s="47"/>
      <c r="D49" s="47"/>
      <c r="E49" s="47"/>
      <c r="F49" s="36">
        <f t="shared" si="38"/>
        <v>0</v>
      </c>
      <c r="G49" s="47"/>
      <c r="H49" s="47"/>
      <c r="I49" s="51" t="str">
        <f t="shared" si="39"/>
        <v/>
      </c>
      <c r="J49" s="53" t="str">
        <f t="shared" si="40"/>
        <v/>
      </c>
      <c r="K49" s="47"/>
      <c r="L49" s="47"/>
      <c r="M49" s="47"/>
      <c r="N49" s="47"/>
      <c r="O49" s="47"/>
      <c r="P49" s="36">
        <f t="shared" si="41"/>
        <v>0</v>
      </c>
      <c r="Q49" s="47"/>
      <c r="R49" s="43">
        <f t="shared" si="42"/>
        <v>0</v>
      </c>
      <c r="S49" s="41">
        <f t="shared" si="43"/>
        <v>0</v>
      </c>
      <c r="T49" s="42">
        <f t="shared" si="44"/>
        <v>0</v>
      </c>
      <c r="U49" s="38">
        <f t="shared" si="45"/>
        <v>0</v>
      </c>
      <c r="V49" s="44" t="str">
        <f t="shared" si="46"/>
        <v/>
      </c>
      <c r="W49" s="39" t="str">
        <f t="shared" si="47"/>
        <v/>
      </c>
      <c r="X49" s="38" t="str">
        <f t="shared" si="48"/>
        <v/>
      </c>
      <c r="Y49" s="39" t="str">
        <f t="shared" si="49"/>
        <v/>
      </c>
      <c r="AA49" s="2">
        <f t="shared" si="31"/>
        <v>4</v>
      </c>
      <c r="AB49" s="2" t="str">
        <f t="shared" si="32"/>
        <v/>
      </c>
      <c r="AC49" s="20" t="str">
        <f t="shared" si="33"/>
        <v/>
      </c>
      <c r="AD49" s="2">
        <f t="shared" si="34"/>
        <v>0</v>
      </c>
      <c r="AE49" s="21">
        <f t="shared" si="35"/>
        <v>1</v>
      </c>
      <c r="AF49" s="2">
        <f t="shared" si="36"/>
        <v>0</v>
      </c>
      <c r="AG49" s="21">
        <f t="shared" si="37"/>
        <v>1</v>
      </c>
    </row>
    <row r="50" spans="2:33">
      <c r="B50" s="47"/>
      <c r="C50" s="47"/>
      <c r="D50" s="47"/>
      <c r="E50" s="47"/>
      <c r="F50" s="36">
        <f t="shared" si="38"/>
        <v>0</v>
      </c>
      <c r="G50" s="47"/>
      <c r="H50" s="47"/>
      <c r="I50" s="51" t="str">
        <f t="shared" si="39"/>
        <v/>
      </c>
      <c r="J50" s="53" t="str">
        <f t="shared" si="40"/>
        <v/>
      </c>
      <c r="K50" s="47"/>
      <c r="L50" s="47"/>
      <c r="M50" s="47"/>
      <c r="N50" s="47"/>
      <c r="O50" s="47"/>
      <c r="P50" s="36">
        <f t="shared" si="41"/>
        <v>0</v>
      </c>
      <c r="Q50" s="47"/>
      <c r="R50" s="43">
        <f t="shared" si="42"/>
        <v>0</v>
      </c>
      <c r="S50" s="41">
        <f t="shared" si="43"/>
        <v>0</v>
      </c>
      <c r="T50" s="42">
        <f t="shared" si="44"/>
        <v>0</v>
      </c>
      <c r="U50" s="38">
        <f t="shared" si="45"/>
        <v>0</v>
      </c>
      <c r="V50" s="44" t="str">
        <f t="shared" si="46"/>
        <v/>
      </c>
      <c r="W50" s="39" t="str">
        <f t="shared" si="47"/>
        <v/>
      </c>
      <c r="X50" s="38" t="str">
        <f t="shared" si="48"/>
        <v/>
      </c>
      <c r="Y50" s="39" t="str">
        <f t="shared" si="49"/>
        <v/>
      </c>
      <c r="AA50" s="2">
        <f t="shared" si="31"/>
        <v>4</v>
      </c>
      <c r="AB50" s="2" t="str">
        <f t="shared" si="32"/>
        <v/>
      </c>
      <c r="AC50" s="20" t="str">
        <f t="shared" si="33"/>
        <v/>
      </c>
      <c r="AD50" s="2">
        <f t="shared" si="34"/>
        <v>0</v>
      </c>
      <c r="AE50" s="21">
        <f t="shared" si="35"/>
        <v>1</v>
      </c>
      <c r="AF50" s="2">
        <f t="shared" si="36"/>
        <v>0</v>
      </c>
      <c r="AG50" s="21">
        <f t="shared" si="37"/>
        <v>1</v>
      </c>
    </row>
    <row r="51" spans="2:33">
      <c r="B51" s="47"/>
      <c r="C51" s="47"/>
      <c r="D51" s="47"/>
      <c r="E51" s="47"/>
      <c r="F51" s="36">
        <f t="shared" si="38"/>
        <v>0</v>
      </c>
      <c r="G51" s="47"/>
      <c r="H51" s="47"/>
      <c r="I51" s="51" t="str">
        <f t="shared" si="39"/>
        <v/>
      </c>
      <c r="J51" s="53" t="str">
        <f t="shared" si="40"/>
        <v/>
      </c>
      <c r="K51" s="47"/>
      <c r="L51" s="47"/>
      <c r="M51" s="47"/>
      <c r="N51" s="47"/>
      <c r="O51" s="47"/>
      <c r="P51" s="36">
        <f t="shared" si="41"/>
        <v>0</v>
      </c>
      <c r="Q51" s="47"/>
      <c r="R51" s="43">
        <f t="shared" si="42"/>
        <v>0</v>
      </c>
      <c r="S51" s="41">
        <f t="shared" si="43"/>
        <v>0</v>
      </c>
      <c r="T51" s="42">
        <f t="shared" si="44"/>
        <v>0</v>
      </c>
      <c r="U51" s="38">
        <f t="shared" si="45"/>
        <v>0</v>
      </c>
      <c r="V51" s="44" t="str">
        <f t="shared" si="46"/>
        <v/>
      </c>
      <c r="W51" s="39" t="str">
        <f t="shared" si="47"/>
        <v/>
      </c>
      <c r="X51" s="38" t="str">
        <f t="shared" si="48"/>
        <v/>
      </c>
      <c r="Y51" s="39" t="str">
        <f t="shared" si="49"/>
        <v/>
      </c>
      <c r="AA51" s="2">
        <f t="shared" si="31"/>
        <v>4</v>
      </c>
      <c r="AB51" s="2" t="str">
        <f t="shared" si="32"/>
        <v/>
      </c>
      <c r="AC51" s="20" t="str">
        <f t="shared" si="33"/>
        <v/>
      </c>
      <c r="AD51" s="2">
        <f t="shared" si="34"/>
        <v>0</v>
      </c>
      <c r="AE51" s="21">
        <f t="shared" si="35"/>
        <v>1</v>
      </c>
      <c r="AF51" s="2">
        <f t="shared" si="36"/>
        <v>0</v>
      </c>
      <c r="AG51" s="21">
        <f t="shared" si="37"/>
        <v>1</v>
      </c>
    </row>
    <row r="52" spans="2:33">
      <c r="B52" s="47"/>
      <c r="C52" s="47"/>
      <c r="D52" s="47"/>
      <c r="E52" s="47"/>
      <c r="F52" s="36">
        <f t="shared" si="38"/>
        <v>0</v>
      </c>
      <c r="G52" s="47"/>
      <c r="H52" s="47"/>
      <c r="I52" s="51" t="str">
        <f t="shared" si="39"/>
        <v/>
      </c>
      <c r="J52" s="53" t="str">
        <f t="shared" si="40"/>
        <v/>
      </c>
      <c r="K52" s="47"/>
      <c r="L52" s="47"/>
      <c r="M52" s="47"/>
      <c r="N52" s="47"/>
      <c r="O52" s="47"/>
      <c r="P52" s="36">
        <f t="shared" si="41"/>
        <v>0</v>
      </c>
      <c r="Q52" s="47"/>
      <c r="R52" s="43">
        <f t="shared" si="42"/>
        <v>0</v>
      </c>
      <c r="S52" s="41">
        <f t="shared" si="43"/>
        <v>0</v>
      </c>
      <c r="T52" s="42">
        <f t="shared" si="44"/>
        <v>0</v>
      </c>
      <c r="U52" s="38">
        <f t="shared" si="45"/>
        <v>0</v>
      </c>
      <c r="V52" s="44" t="str">
        <f t="shared" si="46"/>
        <v/>
      </c>
      <c r="W52" s="39" t="str">
        <f t="shared" si="47"/>
        <v/>
      </c>
      <c r="X52" s="38" t="str">
        <f t="shared" si="48"/>
        <v/>
      </c>
      <c r="Y52" s="39" t="str">
        <f t="shared" si="49"/>
        <v/>
      </c>
      <c r="AA52" s="2">
        <f t="shared" si="31"/>
        <v>4</v>
      </c>
      <c r="AB52" s="2" t="str">
        <f t="shared" si="32"/>
        <v/>
      </c>
      <c r="AC52" s="20" t="str">
        <f t="shared" si="33"/>
        <v/>
      </c>
      <c r="AD52" s="2">
        <f t="shared" si="34"/>
        <v>0</v>
      </c>
      <c r="AE52" s="21">
        <f t="shared" si="35"/>
        <v>1</v>
      </c>
      <c r="AF52" s="2">
        <f t="shared" si="36"/>
        <v>0</v>
      </c>
      <c r="AG52" s="21">
        <f t="shared" si="37"/>
        <v>1</v>
      </c>
    </row>
    <row r="53" spans="2:33">
      <c r="B53" s="47"/>
      <c r="C53" s="47"/>
      <c r="D53" s="47"/>
      <c r="E53" s="47"/>
      <c r="F53" s="36">
        <f t="shared" si="38"/>
        <v>0</v>
      </c>
      <c r="G53" s="47"/>
      <c r="H53" s="47"/>
      <c r="I53" s="51" t="str">
        <f t="shared" si="39"/>
        <v/>
      </c>
      <c r="J53" s="53" t="str">
        <f t="shared" si="40"/>
        <v/>
      </c>
      <c r="K53" s="47"/>
      <c r="L53" s="47"/>
      <c r="M53" s="47"/>
      <c r="N53" s="47"/>
      <c r="O53" s="47"/>
      <c r="P53" s="36">
        <f t="shared" si="41"/>
        <v>0</v>
      </c>
      <c r="Q53" s="47"/>
      <c r="R53" s="43">
        <f t="shared" si="42"/>
        <v>0</v>
      </c>
      <c r="S53" s="41">
        <f t="shared" si="43"/>
        <v>0</v>
      </c>
      <c r="T53" s="42">
        <f t="shared" si="44"/>
        <v>0</v>
      </c>
      <c r="U53" s="38">
        <f t="shared" si="45"/>
        <v>0</v>
      </c>
      <c r="V53" s="44" t="str">
        <f t="shared" si="46"/>
        <v/>
      </c>
      <c r="W53" s="39" t="str">
        <f t="shared" si="47"/>
        <v/>
      </c>
      <c r="X53" s="38" t="str">
        <f t="shared" si="48"/>
        <v/>
      </c>
      <c r="Y53" s="39" t="str">
        <f t="shared" si="49"/>
        <v/>
      </c>
      <c r="AA53" s="2">
        <f t="shared" si="31"/>
        <v>4</v>
      </c>
      <c r="AB53" s="2" t="str">
        <f t="shared" si="32"/>
        <v/>
      </c>
      <c r="AC53" s="20" t="str">
        <f t="shared" si="33"/>
        <v/>
      </c>
      <c r="AD53" s="2">
        <f t="shared" si="34"/>
        <v>0</v>
      </c>
      <c r="AE53" s="21">
        <f t="shared" si="35"/>
        <v>1</v>
      </c>
      <c r="AF53" s="2">
        <f t="shared" si="36"/>
        <v>0</v>
      </c>
      <c r="AG53" s="21">
        <f t="shared" si="37"/>
        <v>1</v>
      </c>
    </row>
    <row r="54" spans="2:33">
      <c r="B54" s="47"/>
      <c r="C54" s="47"/>
      <c r="D54" s="47"/>
      <c r="E54" s="47"/>
      <c r="F54" s="36">
        <f t="shared" si="38"/>
        <v>0</v>
      </c>
      <c r="G54" s="47"/>
      <c r="H54" s="47"/>
      <c r="I54" s="51" t="str">
        <f t="shared" si="39"/>
        <v/>
      </c>
      <c r="J54" s="53" t="str">
        <f t="shared" si="40"/>
        <v/>
      </c>
      <c r="K54" s="47"/>
      <c r="L54" s="47"/>
      <c r="M54" s="47"/>
      <c r="N54" s="47"/>
      <c r="O54" s="47"/>
      <c r="P54" s="36">
        <f t="shared" si="41"/>
        <v>0</v>
      </c>
      <c r="Q54" s="47"/>
      <c r="R54" s="43">
        <f t="shared" si="42"/>
        <v>0</v>
      </c>
      <c r="S54" s="41">
        <f t="shared" si="43"/>
        <v>0</v>
      </c>
      <c r="T54" s="42">
        <f t="shared" si="44"/>
        <v>0</v>
      </c>
      <c r="U54" s="38">
        <f t="shared" si="45"/>
        <v>0</v>
      </c>
      <c r="V54" s="44" t="str">
        <f t="shared" si="46"/>
        <v/>
      </c>
      <c r="W54" s="39" t="str">
        <f t="shared" si="47"/>
        <v/>
      </c>
      <c r="X54" s="38" t="str">
        <f t="shared" si="48"/>
        <v/>
      </c>
      <c r="Y54" s="39" t="str">
        <f t="shared" si="49"/>
        <v/>
      </c>
      <c r="AA54" s="2">
        <f t="shared" si="31"/>
        <v>4</v>
      </c>
      <c r="AB54" s="2" t="str">
        <f t="shared" si="32"/>
        <v/>
      </c>
      <c r="AC54" s="20" t="str">
        <f t="shared" si="33"/>
        <v/>
      </c>
      <c r="AD54" s="2">
        <f t="shared" si="34"/>
        <v>0</v>
      </c>
      <c r="AE54" s="21">
        <f t="shared" si="35"/>
        <v>1</v>
      </c>
      <c r="AF54" s="2">
        <f t="shared" si="36"/>
        <v>0</v>
      </c>
      <c r="AG54" s="21">
        <f t="shared" si="37"/>
        <v>1</v>
      </c>
    </row>
    <row r="55" spans="2:33">
      <c r="B55" s="47"/>
      <c r="C55" s="47"/>
      <c r="D55" s="47"/>
      <c r="E55" s="47"/>
      <c r="F55" s="36">
        <f t="shared" si="38"/>
        <v>0</v>
      </c>
      <c r="G55" s="47"/>
      <c r="H55" s="47"/>
      <c r="I55" s="51" t="str">
        <f t="shared" si="39"/>
        <v/>
      </c>
      <c r="J55" s="53" t="str">
        <f t="shared" si="40"/>
        <v/>
      </c>
      <c r="K55" s="47"/>
      <c r="L55" s="47"/>
      <c r="M55" s="47"/>
      <c r="N55" s="47"/>
      <c r="O55" s="47"/>
      <c r="P55" s="36">
        <f t="shared" si="41"/>
        <v>0</v>
      </c>
      <c r="Q55" s="47"/>
      <c r="R55" s="43">
        <f t="shared" si="42"/>
        <v>0</v>
      </c>
      <c r="S55" s="41">
        <f t="shared" si="43"/>
        <v>0</v>
      </c>
      <c r="T55" s="42">
        <f t="shared" si="44"/>
        <v>0</v>
      </c>
      <c r="U55" s="38">
        <f t="shared" si="45"/>
        <v>0</v>
      </c>
      <c r="V55" s="44" t="str">
        <f t="shared" si="46"/>
        <v/>
      </c>
      <c r="W55" s="39" t="str">
        <f t="shared" si="47"/>
        <v/>
      </c>
      <c r="X55" s="38" t="str">
        <f t="shared" si="48"/>
        <v/>
      </c>
      <c r="Y55" s="39" t="str">
        <f t="shared" si="49"/>
        <v/>
      </c>
      <c r="AA55" s="2">
        <f t="shared" si="31"/>
        <v>4</v>
      </c>
      <c r="AB55" s="2" t="str">
        <f t="shared" si="32"/>
        <v/>
      </c>
      <c r="AC55" s="20" t="str">
        <f t="shared" si="33"/>
        <v/>
      </c>
      <c r="AD55" s="2">
        <f t="shared" si="34"/>
        <v>0</v>
      </c>
      <c r="AE55" s="21">
        <f t="shared" si="35"/>
        <v>1</v>
      </c>
      <c r="AF55" s="2">
        <f t="shared" si="36"/>
        <v>0</v>
      </c>
      <c r="AG55" s="21">
        <f t="shared" si="37"/>
        <v>1</v>
      </c>
    </row>
    <row r="56" spans="2:33">
      <c r="B56" s="47"/>
      <c r="C56" s="47"/>
      <c r="D56" s="47"/>
      <c r="E56" s="47"/>
      <c r="F56" s="36">
        <f t="shared" si="38"/>
        <v>0</v>
      </c>
      <c r="G56" s="47"/>
      <c r="H56" s="47"/>
      <c r="I56" s="51" t="str">
        <f t="shared" si="39"/>
        <v/>
      </c>
      <c r="J56" s="53" t="str">
        <f t="shared" si="40"/>
        <v/>
      </c>
      <c r="K56" s="47"/>
      <c r="L56" s="47"/>
      <c r="M56" s="47"/>
      <c r="N56" s="47"/>
      <c r="O56" s="47"/>
      <c r="P56" s="36">
        <f t="shared" si="41"/>
        <v>0</v>
      </c>
      <c r="Q56" s="47"/>
      <c r="R56" s="43">
        <f t="shared" si="42"/>
        <v>0</v>
      </c>
      <c r="S56" s="41">
        <f t="shared" si="43"/>
        <v>0</v>
      </c>
      <c r="T56" s="42">
        <f t="shared" si="44"/>
        <v>0</v>
      </c>
      <c r="U56" s="38">
        <f t="shared" si="45"/>
        <v>0</v>
      </c>
      <c r="V56" s="44" t="str">
        <f t="shared" si="46"/>
        <v/>
      </c>
      <c r="W56" s="39" t="str">
        <f t="shared" si="47"/>
        <v/>
      </c>
      <c r="X56" s="38" t="str">
        <f t="shared" si="48"/>
        <v/>
      </c>
      <c r="Y56" s="39" t="str">
        <f t="shared" si="49"/>
        <v/>
      </c>
      <c r="AA56" s="2">
        <f t="shared" si="31"/>
        <v>4</v>
      </c>
      <c r="AB56" s="2" t="str">
        <f t="shared" si="32"/>
        <v/>
      </c>
      <c r="AC56" s="20" t="str">
        <f t="shared" si="33"/>
        <v/>
      </c>
      <c r="AD56" s="2">
        <f t="shared" si="34"/>
        <v>0</v>
      </c>
      <c r="AE56" s="21">
        <f t="shared" si="35"/>
        <v>1</v>
      </c>
      <c r="AF56" s="2">
        <f t="shared" si="36"/>
        <v>0</v>
      </c>
      <c r="AG56" s="21">
        <f t="shared" si="37"/>
        <v>1</v>
      </c>
    </row>
    <row r="57" spans="2:33">
      <c r="B57" s="47"/>
      <c r="C57" s="47"/>
      <c r="D57" s="47"/>
      <c r="E57" s="47"/>
      <c r="F57" s="36">
        <f t="shared" si="38"/>
        <v>0</v>
      </c>
      <c r="G57" s="47"/>
      <c r="H57" s="47"/>
      <c r="I57" s="51" t="str">
        <f t="shared" si="39"/>
        <v/>
      </c>
      <c r="J57" s="53" t="str">
        <f t="shared" si="40"/>
        <v/>
      </c>
      <c r="K57" s="47"/>
      <c r="L57" s="47"/>
      <c r="M57" s="47"/>
      <c r="N57" s="47"/>
      <c r="O57" s="47"/>
      <c r="P57" s="36">
        <f t="shared" si="41"/>
        <v>0</v>
      </c>
      <c r="Q57" s="47"/>
      <c r="R57" s="43">
        <f t="shared" si="42"/>
        <v>0</v>
      </c>
      <c r="S57" s="41">
        <f t="shared" si="43"/>
        <v>0</v>
      </c>
      <c r="T57" s="42">
        <f t="shared" si="44"/>
        <v>0</v>
      </c>
      <c r="U57" s="38">
        <f t="shared" si="45"/>
        <v>0</v>
      </c>
      <c r="V57" s="44" t="str">
        <f t="shared" si="46"/>
        <v/>
      </c>
      <c r="W57" s="39" t="str">
        <f t="shared" si="47"/>
        <v/>
      </c>
      <c r="X57" s="38" t="str">
        <f t="shared" si="48"/>
        <v/>
      </c>
      <c r="Y57" s="39" t="str">
        <f t="shared" si="49"/>
        <v/>
      </c>
      <c r="AA57" s="2">
        <f t="shared" si="31"/>
        <v>4</v>
      </c>
      <c r="AB57" s="2" t="str">
        <f t="shared" si="32"/>
        <v/>
      </c>
      <c r="AC57" s="20" t="str">
        <f t="shared" si="33"/>
        <v/>
      </c>
      <c r="AD57" s="2">
        <f t="shared" si="34"/>
        <v>0</v>
      </c>
      <c r="AE57" s="21">
        <f t="shared" si="35"/>
        <v>1</v>
      </c>
      <c r="AF57" s="2">
        <f t="shared" si="36"/>
        <v>0</v>
      </c>
      <c r="AG57" s="21">
        <f t="shared" si="37"/>
        <v>1</v>
      </c>
    </row>
    <row r="58" spans="2:33">
      <c r="B58" s="47"/>
      <c r="C58" s="47"/>
      <c r="D58" s="47"/>
      <c r="E58" s="47"/>
      <c r="F58" s="36">
        <f t="shared" si="38"/>
        <v>0</v>
      </c>
      <c r="G58" s="47"/>
      <c r="H58" s="47"/>
      <c r="I58" s="51" t="str">
        <f t="shared" si="39"/>
        <v/>
      </c>
      <c r="J58" s="53" t="str">
        <f t="shared" si="40"/>
        <v/>
      </c>
      <c r="K58" s="47"/>
      <c r="L58" s="47"/>
      <c r="M58" s="47"/>
      <c r="N58" s="47"/>
      <c r="O58" s="47"/>
      <c r="P58" s="36">
        <f t="shared" si="41"/>
        <v>0</v>
      </c>
      <c r="Q58" s="47"/>
      <c r="R58" s="43">
        <f t="shared" si="42"/>
        <v>0</v>
      </c>
      <c r="S58" s="41">
        <f t="shared" si="43"/>
        <v>0</v>
      </c>
      <c r="T58" s="42">
        <f t="shared" si="44"/>
        <v>0</v>
      </c>
      <c r="U58" s="38">
        <f t="shared" si="45"/>
        <v>0</v>
      </c>
      <c r="V58" s="44" t="str">
        <f t="shared" si="46"/>
        <v/>
      </c>
      <c r="W58" s="39" t="str">
        <f t="shared" si="47"/>
        <v/>
      </c>
      <c r="X58" s="38" t="str">
        <f t="shared" si="48"/>
        <v/>
      </c>
      <c r="Y58" s="39" t="str">
        <f t="shared" si="49"/>
        <v/>
      </c>
      <c r="AA58" s="2">
        <f t="shared" si="31"/>
        <v>4</v>
      </c>
      <c r="AB58" s="2" t="str">
        <f t="shared" si="32"/>
        <v/>
      </c>
      <c r="AC58" s="20" t="str">
        <f t="shared" si="33"/>
        <v/>
      </c>
      <c r="AD58" s="2">
        <f t="shared" si="34"/>
        <v>0</v>
      </c>
      <c r="AE58" s="21">
        <f t="shared" si="35"/>
        <v>1</v>
      </c>
      <c r="AF58" s="2">
        <f t="shared" si="36"/>
        <v>0</v>
      </c>
      <c r="AG58" s="21">
        <f t="shared" si="37"/>
        <v>1</v>
      </c>
    </row>
    <row r="59" spans="2:33">
      <c r="B59" s="47"/>
      <c r="C59" s="47"/>
      <c r="D59" s="47"/>
      <c r="E59" s="47"/>
      <c r="F59" s="36">
        <f t="shared" si="38"/>
        <v>0</v>
      </c>
      <c r="G59" s="47"/>
      <c r="H59" s="47"/>
      <c r="I59" s="51" t="str">
        <f t="shared" si="39"/>
        <v/>
      </c>
      <c r="J59" s="53" t="str">
        <f t="shared" si="40"/>
        <v/>
      </c>
      <c r="K59" s="47"/>
      <c r="L59" s="47"/>
      <c r="M59" s="47"/>
      <c r="N59" s="47"/>
      <c r="O59" s="47"/>
      <c r="P59" s="36">
        <f t="shared" si="41"/>
        <v>0</v>
      </c>
      <c r="Q59" s="47"/>
      <c r="R59" s="43">
        <f t="shared" si="42"/>
        <v>0</v>
      </c>
      <c r="S59" s="41">
        <f t="shared" si="43"/>
        <v>0</v>
      </c>
      <c r="T59" s="42">
        <f t="shared" si="44"/>
        <v>0</v>
      </c>
      <c r="U59" s="38">
        <f t="shared" si="45"/>
        <v>0</v>
      </c>
      <c r="V59" s="44" t="str">
        <f t="shared" si="46"/>
        <v/>
      </c>
      <c r="W59" s="39" t="str">
        <f t="shared" si="47"/>
        <v/>
      </c>
      <c r="X59" s="38" t="str">
        <f t="shared" si="48"/>
        <v/>
      </c>
      <c r="Y59" s="39" t="str">
        <f t="shared" si="49"/>
        <v/>
      </c>
      <c r="AA59" s="2">
        <f t="shared" si="31"/>
        <v>4</v>
      </c>
      <c r="AB59" s="2" t="str">
        <f t="shared" si="32"/>
        <v/>
      </c>
      <c r="AC59" s="20" t="str">
        <f t="shared" si="33"/>
        <v/>
      </c>
      <c r="AD59" s="2">
        <f t="shared" si="34"/>
        <v>0</v>
      </c>
      <c r="AE59" s="21">
        <f t="shared" si="35"/>
        <v>1</v>
      </c>
      <c r="AF59" s="2">
        <f t="shared" si="36"/>
        <v>0</v>
      </c>
      <c r="AG59" s="21">
        <f t="shared" si="37"/>
        <v>1</v>
      </c>
    </row>
    <row r="60" spans="2:33">
      <c r="B60" s="47"/>
      <c r="C60" s="47"/>
      <c r="D60" s="47"/>
      <c r="E60" s="47"/>
      <c r="F60" s="36">
        <f t="shared" si="38"/>
        <v>0</v>
      </c>
      <c r="G60" s="47"/>
      <c r="H60" s="47"/>
      <c r="I60" s="51" t="str">
        <f t="shared" si="39"/>
        <v/>
      </c>
      <c r="J60" s="53" t="str">
        <f t="shared" si="40"/>
        <v/>
      </c>
      <c r="K60" s="47"/>
      <c r="L60" s="47"/>
      <c r="M60" s="47"/>
      <c r="N60" s="47"/>
      <c r="O60" s="47"/>
      <c r="P60" s="36">
        <f t="shared" si="41"/>
        <v>0</v>
      </c>
      <c r="Q60" s="47"/>
      <c r="R60" s="43">
        <f t="shared" si="42"/>
        <v>0</v>
      </c>
      <c r="S60" s="41">
        <f t="shared" si="43"/>
        <v>0</v>
      </c>
      <c r="T60" s="42">
        <f t="shared" si="44"/>
        <v>0</v>
      </c>
      <c r="U60" s="38">
        <f t="shared" si="45"/>
        <v>0</v>
      </c>
      <c r="V60" s="44" t="str">
        <f t="shared" si="46"/>
        <v/>
      </c>
      <c r="W60" s="39" t="str">
        <f t="shared" si="47"/>
        <v/>
      </c>
      <c r="X60" s="38" t="str">
        <f t="shared" si="48"/>
        <v/>
      </c>
      <c r="Y60" s="39" t="str">
        <f t="shared" si="49"/>
        <v/>
      </c>
      <c r="AA60" s="2">
        <f t="shared" si="31"/>
        <v>4</v>
      </c>
      <c r="AB60" s="2" t="str">
        <f t="shared" si="32"/>
        <v/>
      </c>
      <c r="AC60" s="20" t="str">
        <f t="shared" si="33"/>
        <v/>
      </c>
      <c r="AD60" s="2">
        <f t="shared" si="34"/>
        <v>0</v>
      </c>
      <c r="AE60" s="21">
        <f t="shared" si="35"/>
        <v>1</v>
      </c>
      <c r="AF60" s="2">
        <f t="shared" si="36"/>
        <v>0</v>
      </c>
      <c r="AG60" s="21">
        <f t="shared" si="37"/>
        <v>1</v>
      </c>
    </row>
    <row r="61" spans="2:33">
      <c r="B61" s="47"/>
      <c r="C61" s="47"/>
      <c r="D61" s="47"/>
      <c r="E61" s="47"/>
      <c r="F61" s="36">
        <f t="shared" si="38"/>
        <v>0</v>
      </c>
      <c r="G61" s="47"/>
      <c r="H61" s="47"/>
      <c r="I61" s="51" t="str">
        <f t="shared" si="39"/>
        <v/>
      </c>
      <c r="J61" s="53" t="str">
        <f t="shared" si="40"/>
        <v/>
      </c>
      <c r="K61" s="47"/>
      <c r="L61" s="47"/>
      <c r="M61" s="47"/>
      <c r="N61" s="47"/>
      <c r="O61" s="47"/>
      <c r="P61" s="36">
        <f t="shared" si="41"/>
        <v>0</v>
      </c>
      <c r="Q61" s="47"/>
      <c r="R61" s="43">
        <f t="shared" si="42"/>
        <v>0</v>
      </c>
      <c r="S61" s="41">
        <f t="shared" si="43"/>
        <v>0</v>
      </c>
      <c r="T61" s="42">
        <f t="shared" si="44"/>
        <v>0</v>
      </c>
      <c r="U61" s="38">
        <f t="shared" si="45"/>
        <v>0</v>
      </c>
      <c r="V61" s="44" t="str">
        <f t="shared" si="46"/>
        <v/>
      </c>
      <c r="W61" s="39" t="str">
        <f t="shared" si="47"/>
        <v/>
      </c>
      <c r="X61" s="38" t="str">
        <f t="shared" si="48"/>
        <v/>
      </c>
      <c r="Y61" s="39" t="str">
        <f t="shared" si="49"/>
        <v/>
      </c>
      <c r="AA61" s="2">
        <f t="shared" si="31"/>
        <v>4</v>
      </c>
      <c r="AB61" s="2" t="str">
        <f t="shared" si="32"/>
        <v/>
      </c>
      <c r="AC61" s="20" t="str">
        <f t="shared" si="33"/>
        <v/>
      </c>
      <c r="AD61" s="2">
        <f t="shared" si="34"/>
        <v>0</v>
      </c>
      <c r="AE61" s="21">
        <f t="shared" si="35"/>
        <v>1</v>
      </c>
      <c r="AF61" s="2">
        <f t="shared" si="36"/>
        <v>0</v>
      </c>
      <c r="AG61" s="21">
        <f t="shared" si="37"/>
        <v>1</v>
      </c>
    </row>
    <row r="62" spans="2:33">
      <c r="B62" s="47"/>
      <c r="C62" s="47"/>
      <c r="D62" s="47"/>
      <c r="E62" s="47"/>
      <c r="F62" s="36">
        <f t="shared" si="38"/>
        <v>0</v>
      </c>
      <c r="G62" s="47"/>
      <c r="H62" s="47"/>
      <c r="I62" s="51" t="str">
        <f t="shared" si="39"/>
        <v/>
      </c>
      <c r="J62" s="53" t="str">
        <f t="shared" si="40"/>
        <v/>
      </c>
      <c r="K62" s="47"/>
      <c r="L62" s="47"/>
      <c r="M62" s="47"/>
      <c r="N62" s="47"/>
      <c r="O62" s="47"/>
      <c r="P62" s="36">
        <f t="shared" si="41"/>
        <v>0</v>
      </c>
      <c r="Q62" s="47"/>
      <c r="R62" s="43">
        <f t="shared" si="42"/>
        <v>0</v>
      </c>
      <c r="S62" s="41">
        <f t="shared" si="43"/>
        <v>0</v>
      </c>
      <c r="T62" s="42">
        <f t="shared" si="44"/>
        <v>0</v>
      </c>
      <c r="U62" s="38">
        <f t="shared" si="45"/>
        <v>0</v>
      </c>
      <c r="V62" s="44" t="str">
        <f t="shared" si="46"/>
        <v/>
      </c>
      <c r="W62" s="39" t="str">
        <f t="shared" si="47"/>
        <v/>
      </c>
      <c r="X62" s="38" t="str">
        <f t="shared" si="48"/>
        <v/>
      </c>
      <c r="Y62" s="39" t="str">
        <f t="shared" si="49"/>
        <v/>
      </c>
      <c r="AA62" s="2">
        <f t="shared" si="31"/>
        <v>4</v>
      </c>
      <c r="AB62" s="2" t="str">
        <f t="shared" si="32"/>
        <v/>
      </c>
      <c r="AC62" s="20" t="str">
        <f t="shared" si="33"/>
        <v/>
      </c>
      <c r="AD62" s="2">
        <f t="shared" si="34"/>
        <v>0</v>
      </c>
      <c r="AE62" s="21">
        <f t="shared" si="35"/>
        <v>1</v>
      </c>
      <c r="AF62" s="2">
        <f t="shared" si="36"/>
        <v>0</v>
      </c>
      <c r="AG62" s="21">
        <f t="shared" si="37"/>
        <v>1</v>
      </c>
    </row>
    <row r="63" spans="2:33">
      <c r="B63" s="47"/>
      <c r="C63" s="47"/>
      <c r="D63" s="47"/>
      <c r="E63" s="47"/>
      <c r="F63" s="36">
        <f t="shared" si="38"/>
        <v>0</v>
      </c>
      <c r="G63" s="47"/>
      <c r="H63" s="47"/>
      <c r="I63" s="51" t="str">
        <f t="shared" si="39"/>
        <v/>
      </c>
      <c r="J63" s="53" t="str">
        <f t="shared" si="40"/>
        <v/>
      </c>
      <c r="K63" s="47"/>
      <c r="L63" s="47"/>
      <c r="M63" s="47"/>
      <c r="N63" s="47"/>
      <c r="O63" s="47"/>
      <c r="P63" s="36">
        <f t="shared" si="41"/>
        <v>0</v>
      </c>
      <c r="Q63" s="47"/>
      <c r="R63" s="43">
        <f t="shared" si="42"/>
        <v>0</v>
      </c>
      <c r="S63" s="41">
        <f t="shared" si="43"/>
        <v>0</v>
      </c>
      <c r="T63" s="42">
        <f t="shared" si="44"/>
        <v>0</v>
      </c>
      <c r="U63" s="38">
        <f t="shared" si="45"/>
        <v>0</v>
      </c>
      <c r="V63" s="44" t="str">
        <f t="shared" si="46"/>
        <v/>
      </c>
      <c r="W63" s="39" t="str">
        <f t="shared" si="47"/>
        <v/>
      </c>
      <c r="X63" s="38" t="str">
        <f t="shared" si="48"/>
        <v/>
      </c>
      <c r="Y63" s="39" t="str">
        <f t="shared" si="49"/>
        <v/>
      </c>
      <c r="AA63" s="2">
        <f t="shared" si="31"/>
        <v>4</v>
      </c>
      <c r="AB63" s="2" t="str">
        <f t="shared" si="32"/>
        <v/>
      </c>
      <c r="AC63" s="20" t="str">
        <f t="shared" si="33"/>
        <v/>
      </c>
      <c r="AD63" s="2">
        <f t="shared" si="34"/>
        <v>0</v>
      </c>
      <c r="AE63" s="21">
        <f t="shared" si="35"/>
        <v>1</v>
      </c>
      <c r="AF63" s="2">
        <f t="shared" si="36"/>
        <v>0</v>
      </c>
      <c r="AG63" s="21">
        <f t="shared" si="37"/>
        <v>1</v>
      </c>
    </row>
    <row r="64" spans="2:33">
      <c r="B64" s="47"/>
      <c r="C64" s="47"/>
      <c r="D64" s="47"/>
      <c r="E64" s="47"/>
      <c r="F64" s="36">
        <f t="shared" si="38"/>
        <v>0</v>
      </c>
      <c r="G64" s="47"/>
      <c r="H64" s="47"/>
      <c r="I64" s="51" t="str">
        <f t="shared" si="39"/>
        <v/>
      </c>
      <c r="J64" s="53" t="str">
        <f t="shared" si="40"/>
        <v/>
      </c>
      <c r="K64" s="47"/>
      <c r="L64" s="47"/>
      <c r="M64" s="47"/>
      <c r="N64" s="47"/>
      <c r="O64" s="47"/>
      <c r="P64" s="36">
        <f t="shared" si="41"/>
        <v>0</v>
      </c>
      <c r="Q64" s="47"/>
      <c r="R64" s="43">
        <f t="shared" si="42"/>
        <v>0</v>
      </c>
      <c r="S64" s="41">
        <f t="shared" si="43"/>
        <v>0</v>
      </c>
      <c r="T64" s="42">
        <f t="shared" si="44"/>
        <v>0</v>
      </c>
      <c r="U64" s="38">
        <f t="shared" si="45"/>
        <v>0</v>
      </c>
      <c r="V64" s="44" t="str">
        <f t="shared" si="46"/>
        <v/>
      </c>
      <c r="W64" s="39" t="str">
        <f t="shared" si="47"/>
        <v/>
      </c>
      <c r="X64" s="38" t="str">
        <f t="shared" si="48"/>
        <v/>
      </c>
      <c r="Y64" s="39" t="str">
        <f t="shared" si="49"/>
        <v/>
      </c>
      <c r="AA64" s="2">
        <f t="shared" si="31"/>
        <v>4</v>
      </c>
      <c r="AB64" s="2" t="str">
        <f t="shared" si="32"/>
        <v/>
      </c>
      <c r="AC64" s="20" t="str">
        <f t="shared" si="33"/>
        <v/>
      </c>
      <c r="AD64" s="2">
        <f t="shared" si="34"/>
        <v>0</v>
      </c>
      <c r="AE64" s="21">
        <f t="shared" si="35"/>
        <v>1</v>
      </c>
      <c r="AF64" s="2">
        <f t="shared" si="36"/>
        <v>0</v>
      </c>
      <c r="AG64" s="21">
        <f t="shared" si="37"/>
        <v>1</v>
      </c>
    </row>
    <row r="65" spans="2:33">
      <c r="B65" s="47"/>
      <c r="C65" s="47"/>
      <c r="D65" s="47"/>
      <c r="E65" s="47"/>
      <c r="F65" s="36">
        <f t="shared" si="38"/>
        <v>0</v>
      </c>
      <c r="G65" s="47"/>
      <c r="H65" s="47"/>
      <c r="I65" s="51" t="str">
        <f t="shared" si="39"/>
        <v/>
      </c>
      <c r="J65" s="53" t="str">
        <f t="shared" si="40"/>
        <v/>
      </c>
      <c r="K65" s="47"/>
      <c r="L65" s="47"/>
      <c r="M65" s="47"/>
      <c r="N65" s="47"/>
      <c r="O65" s="47"/>
      <c r="P65" s="36">
        <f t="shared" si="41"/>
        <v>0</v>
      </c>
      <c r="Q65" s="47"/>
      <c r="R65" s="43">
        <f t="shared" si="42"/>
        <v>0</v>
      </c>
      <c r="S65" s="41">
        <f t="shared" si="43"/>
        <v>0</v>
      </c>
      <c r="T65" s="42">
        <f t="shared" si="44"/>
        <v>0</v>
      </c>
      <c r="U65" s="38">
        <f t="shared" si="45"/>
        <v>0</v>
      </c>
      <c r="V65" s="44" t="str">
        <f t="shared" si="46"/>
        <v/>
      </c>
      <c r="W65" s="39" t="str">
        <f t="shared" si="47"/>
        <v/>
      </c>
      <c r="X65" s="38" t="str">
        <f t="shared" si="48"/>
        <v/>
      </c>
      <c r="Y65" s="39" t="str">
        <f t="shared" si="49"/>
        <v/>
      </c>
      <c r="AA65" s="2">
        <f t="shared" si="31"/>
        <v>4</v>
      </c>
      <c r="AB65" s="2" t="str">
        <f t="shared" si="32"/>
        <v/>
      </c>
      <c r="AC65" s="20" t="str">
        <f t="shared" si="33"/>
        <v/>
      </c>
      <c r="AD65" s="2">
        <f t="shared" si="34"/>
        <v>0</v>
      </c>
      <c r="AE65" s="21">
        <f t="shared" si="35"/>
        <v>1</v>
      </c>
      <c r="AF65" s="2">
        <f t="shared" si="36"/>
        <v>0</v>
      </c>
      <c r="AG65" s="21">
        <f t="shared" si="37"/>
        <v>1</v>
      </c>
    </row>
    <row r="66" spans="2:33">
      <c r="B66" s="47"/>
      <c r="C66" s="47"/>
      <c r="D66" s="47"/>
      <c r="E66" s="47"/>
      <c r="F66" s="36">
        <f t="shared" si="38"/>
        <v>0</v>
      </c>
      <c r="G66" s="47"/>
      <c r="H66" s="47"/>
      <c r="I66" s="51" t="str">
        <f t="shared" si="39"/>
        <v/>
      </c>
      <c r="J66" s="53" t="str">
        <f t="shared" si="40"/>
        <v/>
      </c>
      <c r="K66" s="47"/>
      <c r="L66" s="47"/>
      <c r="M66" s="47"/>
      <c r="N66" s="47"/>
      <c r="O66" s="47"/>
      <c r="P66" s="36">
        <f t="shared" si="41"/>
        <v>0</v>
      </c>
      <c r="Q66" s="47"/>
      <c r="R66" s="43">
        <f t="shared" si="42"/>
        <v>0</v>
      </c>
      <c r="S66" s="41">
        <f t="shared" si="43"/>
        <v>0</v>
      </c>
      <c r="T66" s="42">
        <f t="shared" si="44"/>
        <v>0</v>
      </c>
      <c r="U66" s="38">
        <f t="shared" si="45"/>
        <v>0</v>
      </c>
      <c r="V66" s="44" t="str">
        <f t="shared" si="46"/>
        <v/>
      </c>
      <c r="W66" s="39" t="str">
        <f t="shared" si="47"/>
        <v/>
      </c>
      <c r="X66" s="38" t="str">
        <f t="shared" si="48"/>
        <v/>
      </c>
      <c r="Y66" s="39" t="str">
        <f t="shared" si="49"/>
        <v/>
      </c>
      <c r="AA66" s="2">
        <f t="shared" si="31"/>
        <v>4</v>
      </c>
      <c r="AB66" s="2" t="str">
        <f t="shared" si="32"/>
        <v/>
      </c>
      <c r="AC66" s="20" t="str">
        <f t="shared" si="33"/>
        <v/>
      </c>
      <c r="AD66" s="2">
        <f t="shared" si="34"/>
        <v>0</v>
      </c>
      <c r="AE66" s="21">
        <f t="shared" si="35"/>
        <v>1</v>
      </c>
      <c r="AF66" s="2">
        <f t="shared" si="36"/>
        <v>0</v>
      </c>
      <c r="AG66" s="21">
        <f t="shared" si="37"/>
        <v>1</v>
      </c>
    </row>
    <row r="67" spans="2:33">
      <c r="B67" s="47"/>
      <c r="C67" s="47"/>
      <c r="D67" s="47"/>
      <c r="E67" s="47"/>
      <c r="F67" s="36">
        <f t="shared" si="38"/>
        <v>0</v>
      </c>
      <c r="G67" s="47"/>
      <c r="H67" s="47"/>
      <c r="I67" s="51" t="str">
        <f t="shared" si="39"/>
        <v/>
      </c>
      <c r="J67" s="53" t="str">
        <f t="shared" si="40"/>
        <v/>
      </c>
      <c r="K67" s="47"/>
      <c r="L67" s="47"/>
      <c r="M67" s="47"/>
      <c r="N67" s="47"/>
      <c r="O67" s="47"/>
      <c r="P67" s="36">
        <f t="shared" si="41"/>
        <v>0</v>
      </c>
      <c r="Q67" s="47"/>
      <c r="R67" s="43">
        <f t="shared" si="42"/>
        <v>0</v>
      </c>
      <c r="S67" s="41">
        <f t="shared" si="43"/>
        <v>0</v>
      </c>
      <c r="T67" s="42">
        <f t="shared" si="44"/>
        <v>0</v>
      </c>
      <c r="U67" s="38">
        <f t="shared" si="45"/>
        <v>0</v>
      </c>
      <c r="V67" s="44" t="str">
        <f t="shared" si="46"/>
        <v/>
      </c>
      <c r="W67" s="39" t="str">
        <f t="shared" si="47"/>
        <v/>
      </c>
      <c r="X67" s="38" t="str">
        <f t="shared" si="48"/>
        <v/>
      </c>
      <c r="Y67" s="39" t="str">
        <f t="shared" si="49"/>
        <v/>
      </c>
      <c r="AA67" s="2">
        <f t="shared" si="31"/>
        <v>4</v>
      </c>
      <c r="AB67" s="2" t="str">
        <f t="shared" si="32"/>
        <v/>
      </c>
      <c r="AC67" s="20" t="str">
        <f t="shared" si="33"/>
        <v/>
      </c>
      <c r="AD67" s="2">
        <f t="shared" si="34"/>
        <v>0</v>
      </c>
      <c r="AE67" s="21">
        <f t="shared" si="35"/>
        <v>1</v>
      </c>
      <c r="AF67" s="2">
        <f t="shared" si="36"/>
        <v>0</v>
      </c>
      <c r="AG67" s="21">
        <f t="shared" si="37"/>
        <v>1</v>
      </c>
    </row>
    <row r="68" spans="2:33">
      <c r="B68" s="47"/>
      <c r="C68" s="47"/>
      <c r="D68" s="47"/>
      <c r="E68" s="47"/>
      <c r="F68" s="36">
        <f t="shared" si="38"/>
        <v>0</v>
      </c>
      <c r="G68" s="47"/>
      <c r="H68" s="47"/>
      <c r="I68" s="51" t="str">
        <f t="shared" si="39"/>
        <v/>
      </c>
      <c r="J68" s="53" t="str">
        <f t="shared" si="40"/>
        <v/>
      </c>
      <c r="K68" s="47"/>
      <c r="L68" s="47"/>
      <c r="M68" s="47"/>
      <c r="N68" s="47"/>
      <c r="O68" s="47"/>
      <c r="P68" s="36">
        <f t="shared" si="41"/>
        <v>0</v>
      </c>
      <c r="Q68" s="47"/>
      <c r="R68" s="43">
        <f t="shared" si="42"/>
        <v>0</v>
      </c>
      <c r="S68" s="41">
        <f t="shared" si="43"/>
        <v>0</v>
      </c>
      <c r="T68" s="42">
        <f t="shared" si="44"/>
        <v>0</v>
      </c>
      <c r="U68" s="38">
        <f t="shared" si="45"/>
        <v>0</v>
      </c>
      <c r="V68" s="44" t="str">
        <f t="shared" si="46"/>
        <v/>
      </c>
      <c r="W68" s="39" t="str">
        <f t="shared" si="47"/>
        <v/>
      </c>
      <c r="X68" s="38" t="str">
        <f t="shared" si="48"/>
        <v/>
      </c>
      <c r="Y68" s="39" t="str">
        <f t="shared" si="49"/>
        <v/>
      </c>
      <c r="AA68" s="2">
        <f t="shared" si="31"/>
        <v>4</v>
      </c>
      <c r="AB68" s="2" t="str">
        <f t="shared" si="32"/>
        <v/>
      </c>
      <c r="AC68" s="20" t="str">
        <f t="shared" si="33"/>
        <v/>
      </c>
      <c r="AD68" s="2">
        <f t="shared" si="34"/>
        <v>0</v>
      </c>
      <c r="AE68" s="21">
        <f t="shared" si="35"/>
        <v>1</v>
      </c>
      <c r="AF68" s="2">
        <f t="shared" si="36"/>
        <v>0</v>
      </c>
      <c r="AG68" s="21">
        <f t="shared" si="37"/>
        <v>1</v>
      </c>
    </row>
    <row r="69" spans="2:33">
      <c r="B69" s="47"/>
      <c r="C69" s="47"/>
      <c r="D69" s="47"/>
      <c r="E69" s="47"/>
      <c r="F69" s="36">
        <f t="shared" si="38"/>
        <v>0</v>
      </c>
      <c r="G69" s="47"/>
      <c r="H69" s="47"/>
      <c r="I69" s="51" t="str">
        <f t="shared" si="39"/>
        <v/>
      </c>
      <c r="J69" s="53" t="str">
        <f t="shared" si="40"/>
        <v/>
      </c>
      <c r="K69" s="47"/>
      <c r="L69" s="47"/>
      <c r="M69" s="47"/>
      <c r="N69" s="47"/>
      <c r="O69" s="47"/>
      <c r="P69" s="36">
        <f t="shared" si="41"/>
        <v>0</v>
      </c>
      <c r="Q69" s="47"/>
      <c r="R69" s="43">
        <f t="shared" si="42"/>
        <v>0</v>
      </c>
      <c r="S69" s="41">
        <f t="shared" si="43"/>
        <v>0</v>
      </c>
      <c r="T69" s="42">
        <f t="shared" si="44"/>
        <v>0</v>
      </c>
      <c r="U69" s="38">
        <f t="shared" si="45"/>
        <v>0</v>
      </c>
      <c r="V69" s="44" t="str">
        <f t="shared" si="46"/>
        <v/>
      </c>
      <c r="W69" s="39" t="str">
        <f t="shared" si="47"/>
        <v/>
      </c>
      <c r="X69" s="38" t="str">
        <f t="shared" si="48"/>
        <v/>
      </c>
      <c r="Y69" s="39" t="str">
        <f t="shared" si="49"/>
        <v/>
      </c>
      <c r="AA69" s="2">
        <f t="shared" si="31"/>
        <v>4</v>
      </c>
      <c r="AB69" s="2" t="str">
        <f t="shared" si="32"/>
        <v/>
      </c>
      <c r="AC69" s="20" t="str">
        <f t="shared" si="33"/>
        <v/>
      </c>
      <c r="AD69" s="2">
        <f t="shared" si="34"/>
        <v>0</v>
      </c>
      <c r="AE69" s="21">
        <f t="shared" si="35"/>
        <v>1</v>
      </c>
      <c r="AF69" s="2">
        <f t="shared" si="36"/>
        <v>0</v>
      </c>
      <c r="AG69" s="21">
        <f t="shared" si="37"/>
        <v>1</v>
      </c>
    </row>
    <row r="70" spans="2:33">
      <c r="B70" s="47"/>
      <c r="C70" s="47"/>
      <c r="D70" s="47"/>
      <c r="E70" s="47"/>
      <c r="F70" s="36">
        <f t="shared" si="38"/>
        <v>0</v>
      </c>
      <c r="G70" s="47"/>
      <c r="H70" s="47"/>
      <c r="I70" s="51" t="str">
        <f t="shared" si="39"/>
        <v/>
      </c>
      <c r="J70" s="53" t="str">
        <f t="shared" si="40"/>
        <v/>
      </c>
      <c r="K70" s="47"/>
      <c r="L70" s="47"/>
      <c r="M70" s="47"/>
      <c r="N70" s="47"/>
      <c r="O70" s="47"/>
      <c r="P70" s="36">
        <f t="shared" si="41"/>
        <v>0</v>
      </c>
      <c r="Q70" s="47"/>
      <c r="R70" s="43">
        <f t="shared" si="42"/>
        <v>0</v>
      </c>
      <c r="S70" s="41">
        <f t="shared" si="43"/>
        <v>0</v>
      </c>
      <c r="T70" s="42">
        <f t="shared" si="44"/>
        <v>0</v>
      </c>
      <c r="U70" s="38">
        <f t="shared" si="45"/>
        <v>0</v>
      </c>
      <c r="V70" s="44" t="str">
        <f t="shared" si="46"/>
        <v/>
      </c>
      <c r="W70" s="39" t="str">
        <f t="shared" si="47"/>
        <v/>
      </c>
      <c r="X70" s="38" t="str">
        <f t="shared" si="48"/>
        <v/>
      </c>
      <c r="Y70" s="39" t="str">
        <f t="shared" si="49"/>
        <v/>
      </c>
      <c r="AA70" s="2">
        <f t="shared" si="31"/>
        <v>4</v>
      </c>
      <c r="AB70" s="2" t="str">
        <f t="shared" si="32"/>
        <v/>
      </c>
      <c r="AC70" s="20" t="str">
        <f t="shared" si="33"/>
        <v/>
      </c>
      <c r="AD70" s="2">
        <f t="shared" si="34"/>
        <v>0</v>
      </c>
      <c r="AE70" s="21">
        <f t="shared" si="35"/>
        <v>1</v>
      </c>
      <c r="AF70" s="2">
        <f t="shared" si="36"/>
        <v>0</v>
      </c>
      <c r="AG70" s="21">
        <f t="shared" si="37"/>
        <v>1</v>
      </c>
    </row>
    <row r="71" spans="2:33">
      <c r="B71" s="47"/>
      <c r="C71" s="47"/>
      <c r="D71" s="47"/>
      <c r="E71" s="47"/>
      <c r="F71" s="36">
        <f t="shared" si="38"/>
        <v>0</v>
      </c>
      <c r="G71" s="47"/>
      <c r="H71" s="47"/>
      <c r="I71" s="51" t="str">
        <f t="shared" si="39"/>
        <v/>
      </c>
      <c r="J71" s="53" t="str">
        <f t="shared" si="40"/>
        <v/>
      </c>
      <c r="K71" s="47"/>
      <c r="L71" s="47"/>
      <c r="M71" s="47"/>
      <c r="N71" s="47"/>
      <c r="O71" s="47"/>
      <c r="P71" s="36">
        <f t="shared" si="41"/>
        <v>0</v>
      </c>
      <c r="Q71" s="47"/>
      <c r="R71" s="43">
        <f t="shared" si="42"/>
        <v>0</v>
      </c>
      <c r="S71" s="41">
        <f t="shared" si="43"/>
        <v>0</v>
      </c>
      <c r="T71" s="42">
        <f t="shared" si="44"/>
        <v>0</v>
      </c>
      <c r="U71" s="38">
        <f t="shared" si="45"/>
        <v>0</v>
      </c>
      <c r="V71" s="44" t="str">
        <f t="shared" ref="V71:V102" si="50">IF(T71=0,"",(1.732*T71*((AB71*AF71)+(AC71*AG71))*(D71/1000))/E71)</f>
        <v/>
      </c>
      <c r="W71" s="39" t="str">
        <f t="shared" ref="W71:W102" si="51">IF(V71="","",(V71/K71))</f>
        <v/>
      </c>
      <c r="X71" s="38" t="str">
        <f t="shared" ref="X71:X102" si="52">IF(U71=0,"",(1.732*U71*((AB71*AD71)+(AC71*AE71))*(D71/1000))/E71)</f>
        <v/>
      </c>
      <c r="Y71" s="39" t="str">
        <f t="shared" ref="Y71:Y102" si="53">IF(X71="","",(X71/K71))</f>
        <v/>
      </c>
      <c r="AA71" s="2">
        <f t="shared" si="31"/>
        <v>4</v>
      </c>
      <c r="AB71" s="2" t="str">
        <f t="shared" si="32"/>
        <v/>
      </c>
      <c r="AC71" s="20" t="str">
        <f t="shared" si="33"/>
        <v/>
      </c>
      <c r="AD71" s="2">
        <f t="shared" si="34"/>
        <v>0</v>
      </c>
      <c r="AE71" s="21">
        <f t="shared" si="35"/>
        <v>1</v>
      </c>
      <c r="AF71" s="2">
        <f t="shared" si="36"/>
        <v>0</v>
      </c>
      <c r="AG71" s="21">
        <f t="shared" si="37"/>
        <v>1</v>
      </c>
    </row>
    <row r="72" spans="2:33">
      <c r="B72" s="47"/>
      <c r="C72" s="47"/>
      <c r="D72" s="47"/>
      <c r="E72" s="47"/>
      <c r="F72" s="36">
        <f t="shared" si="38"/>
        <v>0</v>
      </c>
      <c r="G72" s="47"/>
      <c r="H72" s="47"/>
      <c r="I72" s="51" t="str">
        <f t="shared" si="39"/>
        <v/>
      </c>
      <c r="J72" s="53" t="str">
        <f t="shared" si="40"/>
        <v/>
      </c>
      <c r="K72" s="47"/>
      <c r="L72" s="47"/>
      <c r="M72" s="47"/>
      <c r="N72" s="47"/>
      <c r="O72" s="47"/>
      <c r="P72" s="36">
        <f t="shared" si="41"/>
        <v>0</v>
      </c>
      <c r="Q72" s="47"/>
      <c r="R72" s="43">
        <f t="shared" si="42"/>
        <v>0</v>
      </c>
      <c r="S72" s="41">
        <f t="shared" si="43"/>
        <v>0</v>
      </c>
      <c r="T72" s="42">
        <f t="shared" si="44"/>
        <v>0</v>
      </c>
      <c r="U72" s="38">
        <f t="shared" si="45"/>
        <v>0</v>
      </c>
      <c r="V72" s="44" t="str">
        <f t="shared" si="50"/>
        <v/>
      </c>
      <c r="W72" s="39" t="str">
        <f t="shared" si="51"/>
        <v/>
      </c>
      <c r="X72" s="38" t="str">
        <f t="shared" si="52"/>
        <v/>
      </c>
      <c r="Y72" s="39" t="str">
        <f t="shared" si="53"/>
        <v/>
      </c>
      <c r="AA72" s="2">
        <f t="shared" si="31"/>
        <v>4</v>
      </c>
      <c r="AB72" s="2" t="str">
        <f t="shared" si="32"/>
        <v/>
      </c>
      <c r="AC72" s="20" t="str">
        <f t="shared" si="33"/>
        <v/>
      </c>
      <c r="AD72" s="2">
        <f t="shared" si="34"/>
        <v>0</v>
      </c>
      <c r="AE72" s="21">
        <f t="shared" si="35"/>
        <v>1</v>
      </c>
      <c r="AF72" s="2">
        <f t="shared" si="36"/>
        <v>0</v>
      </c>
      <c r="AG72" s="21">
        <f t="shared" si="37"/>
        <v>1</v>
      </c>
    </row>
    <row r="73" spans="2:33">
      <c r="B73" s="47"/>
      <c r="C73" s="47"/>
      <c r="D73" s="47"/>
      <c r="E73" s="47"/>
      <c r="F73" s="36">
        <f t="shared" si="38"/>
        <v>0</v>
      </c>
      <c r="G73" s="47"/>
      <c r="H73" s="47"/>
      <c r="I73" s="51" t="str">
        <f t="shared" si="39"/>
        <v/>
      </c>
      <c r="J73" s="53" t="str">
        <f t="shared" si="40"/>
        <v/>
      </c>
      <c r="K73" s="47"/>
      <c r="L73" s="47"/>
      <c r="M73" s="47"/>
      <c r="N73" s="47"/>
      <c r="O73" s="47"/>
      <c r="P73" s="36">
        <f t="shared" si="41"/>
        <v>0</v>
      </c>
      <c r="Q73" s="47"/>
      <c r="R73" s="43">
        <f t="shared" si="42"/>
        <v>0</v>
      </c>
      <c r="S73" s="41">
        <f t="shared" si="43"/>
        <v>0</v>
      </c>
      <c r="T73" s="42">
        <f t="shared" si="44"/>
        <v>0</v>
      </c>
      <c r="U73" s="38">
        <f t="shared" si="45"/>
        <v>0</v>
      </c>
      <c r="V73" s="44" t="str">
        <f t="shared" si="50"/>
        <v/>
      </c>
      <c r="W73" s="39" t="str">
        <f t="shared" si="51"/>
        <v/>
      </c>
      <c r="X73" s="38" t="str">
        <f t="shared" si="52"/>
        <v/>
      </c>
      <c r="Y73" s="39" t="str">
        <f t="shared" si="53"/>
        <v/>
      </c>
      <c r="AA73" s="2">
        <f t="shared" si="31"/>
        <v>4</v>
      </c>
      <c r="AB73" s="2" t="str">
        <f t="shared" si="32"/>
        <v/>
      </c>
      <c r="AC73" s="20" t="str">
        <f t="shared" si="33"/>
        <v/>
      </c>
      <c r="AD73" s="2">
        <f t="shared" si="34"/>
        <v>0</v>
      </c>
      <c r="AE73" s="21">
        <f t="shared" si="35"/>
        <v>1</v>
      </c>
      <c r="AF73" s="2">
        <f t="shared" si="36"/>
        <v>0</v>
      </c>
      <c r="AG73" s="21">
        <f t="shared" si="37"/>
        <v>1</v>
      </c>
    </row>
    <row r="74" spans="2:33">
      <c r="B74" s="47"/>
      <c r="C74" s="47"/>
      <c r="D74" s="47"/>
      <c r="E74" s="47"/>
      <c r="F74" s="36">
        <f t="shared" si="38"/>
        <v>0</v>
      </c>
      <c r="G74" s="47"/>
      <c r="H74" s="47"/>
      <c r="I74" s="51" t="str">
        <f t="shared" si="39"/>
        <v/>
      </c>
      <c r="J74" s="53" t="str">
        <f t="shared" si="40"/>
        <v/>
      </c>
      <c r="K74" s="47"/>
      <c r="L74" s="47"/>
      <c r="M74" s="47"/>
      <c r="N74" s="47"/>
      <c r="O74" s="47"/>
      <c r="P74" s="36">
        <f t="shared" si="41"/>
        <v>0</v>
      </c>
      <c r="Q74" s="47"/>
      <c r="R74" s="43">
        <f t="shared" si="42"/>
        <v>0</v>
      </c>
      <c r="S74" s="41">
        <f t="shared" si="43"/>
        <v>0</v>
      </c>
      <c r="T74" s="42">
        <f t="shared" si="44"/>
        <v>0</v>
      </c>
      <c r="U74" s="38">
        <f t="shared" si="45"/>
        <v>0</v>
      </c>
      <c r="V74" s="44" t="str">
        <f t="shared" si="50"/>
        <v/>
      </c>
      <c r="W74" s="39" t="str">
        <f t="shared" si="51"/>
        <v/>
      </c>
      <c r="X74" s="38" t="str">
        <f t="shared" si="52"/>
        <v/>
      </c>
      <c r="Y74" s="39" t="str">
        <f t="shared" si="53"/>
        <v/>
      </c>
      <c r="AA74" s="2">
        <f t="shared" si="31"/>
        <v>4</v>
      </c>
      <c r="AB74" s="2" t="str">
        <f t="shared" si="32"/>
        <v/>
      </c>
      <c r="AC74" s="20" t="str">
        <f t="shared" si="33"/>
        <v/>
      </c>
      <c r="AD74" s="2">
        <f t="shared" si="34"/>
        <v>0</v>
      </c>
      <c r="AE74" s="21">
        <f t="shared" si="35"/>
        <v>1</v>
      </c>
      <c r="AF74" s="2">
        <f t="shared" si="36"/>
        <v>0</v>
      </c>
      <c r="AG74" s="21">
        <f t="shared" si="37"/>
        <v>1</v>
      </c>
    </row>
    <row r="75" spans="2:33">
      <c r="B75" s="47"/>
      <c r="C75" s="47"/>
      <c r="D75" s="47"/>
      <c r="E75" s="47"/>
      <c r="F75" s="36">
        <f t="shared" si="38"/>
        <v>0</v>
      </c>
      <c r="G75" s="47"/>
      <c r="H75" s="47"/>
      <c r="I75" s="51" t="str">
        <f t="shared" si="39"/>
        <v/>
      </c>
      <c r="J75" s="53" t="str">
        <f t="shared" si="40"/>
        <v/>
      </c>
      <c r="K75" s="47"/>
      <c r="L75" s="47"/>
      <c r="M75" s="47"/>
      <c r="N75" s="47"/>
      <c r="O75" s="47"/>
      <c r="P75" s="36">
        <f t="shared" si="41"/>
        <v>0</v>
      </c>
      <c r="Q75" s="47"/>
      <c r="R75" s="43">
        <f t="shared" si="42"/>
        <v>0</v>
      </c>
      <c r="S75" s="41">
        <f t="shared" si="43"/>
        <v>0</v>
      </c>
      <c r="T75" s="42">
        <f t="shared" si="44"/>
        <v>0</v>
      </c>
      <c r="U75" s="38">
        <f t="shared" si="45"/>
        <v>0</v>
      </c>
      <c r="V75" s="44" t="str">
        <f t="shared" si="50"/>
        <v/>
      </c>
      <c r="W75" s="39" t="str">
        <f t="shared" si="51"/>
        <v/>
      </c>
      <c r="X75" s="38" t="str">
        <f t="shared" si="52"/>
        <v/>
      </c>
      <c r="Y75" s="39" t="str">
        <f t="shared" si="53"/>
        <v/>
      </c>
      <c r="AA75" s="2">
        <f t="shared" si="31"/>
        <v>4</v>
      </c>
      <c r="AB75" s="2" t="str">
        <f t="shared" si="32"/>
        <v/>
      </c>
      <c r="AC75" s="20" t="str">
        <f t="shared" si="33"/>
        <v/>
      </c>
      <c r="AD75" s="2">
        <f t="shared" si="34"/>
        <v>0</v>
      </c>
      <c r="AE75" s="21">
        <f t="shared" si="35"/>
        <v>1</v>
      </c>
      <c r="AF75" s="2">
        <f t="shared" si="36"/>
        <v>0</v>
      </c>
      <c r="AG75" s="21">
        <f t="shared" si="37"/>
        <v>1</v>
      </c>
    </row>
    <row r="76" spans="2:33">
      <c r="B76" s="47"/>
      <c r="C76" s="47"/>
      <c r="D76" s="47"/>
      <c r="E76" s="47"/>
      <c r="F76" s="36">
        <f t="shared" si="38"/>
        <v>0</v>
      </c>
      <c r="G76" s="47"/>
      <c r="H76" s="47"/>
      <c r="I76" s="51" t="str">
        <f t="shared" si="39"/>
        <v/>
      </c>
      <c r="J76" s="53" t="str">
        <f t="shared" si="40"/>
        <v/>
      </c>
      <c r="K76" s="47"/>
      <c r="L76" s="47"/>
      <c r="M76" s="47"/>
      <c r="N76" s="47"/>
      <c r="O76" s="47"/>
      <c r="P76" s="36">
        <f t="shared" si="41"/>
        <v>0</v>
      </c>
      <c r="Q76" s="47"/>
      <c r="R76" s="43">
        <f t="shared" si="42"/>
        <v>0</v>
      </c>
      <c r="S76" s="41">
        <f t="shared" si="43"/>
        <v>0</v>
      </c>
      <c r="T76" s="42">
        <f t="shared" si="44"/>
        <v>0</v>
      </c>
      <c r="U76" s="38">
        <f t="shared" si="45"/>
        <v>0</v>
      </c>
      <c r="V76" s="44" t="str">
        <f t="shared" si="50"/>
        <v/>
      </c>
      <c r="W76" s="39" t="str">
        <f t="shared" si="51"/>
        <v/>
      </c>
      <c r="X76" s="38" t="str">
        <f t="shared" si="52"/>
        <v/>
      </c>
      <c r="Y76" s="39" t="str">
        <f t="shared" si="53"/>
        <v/>
      </c>
      <c r="AA76" s="2">
        <f t="shared" si="31"/>
        <v>4</v>
      </c>
      <c r="AB76" s="2" t="str">
        <f t="shared" si="32"/>
        <v/>
      </c>
      <c r="AC76" s="20" t="str">
        <f t="shared" si="33"/>
        <v/>
      </c>
      <c r="AD76" s="2">
        <f t="shared" si="34"/>
        <v>0</v>
      </c>
      <c r="AE76" s="21">
        <f t="shared" si="35"/>
        <v>1</v>
      </c>
      <c r="AF76" s="2">
        <f t="shared" si="36"/>
        <v>0</v>
      </c>
      <c r="AG76" s="21">
        <f t="shared" si="37"/>
        <v>1</v>
      </c>
    </row>
    <row r="77" spans="2:33">
      <c r="B77" s="47"/>
      <c r="C77" s="47"/>
      <c r="D77" s="47"/>
      <c r="E77" s="47"/>
      <c r="F77" s="36">
        <f t="shared" si="38"/>
        <v>0</v>
      </c>
      <c r="G77" s="47"/>
      <c r="H77" s="47"/>
      <c r="I77" s="51" t="str">
        <f t="shared" si="39"/>
        <v/>
      </c>
      <c r="J77" s="53" t="str">
        <f t="shared" si="40"/>
        <v/>
      </c>
      <c r="K77" s="47"/>
      <c r="L77" s="47"/>
      <c r="M77" s="47"/>
      <c r="N77" s="47"/>
      <c r="O77" s="47"/>
      <c r="P77" s="36">
        <f t="shared" si="41"/>
        <v>0</v>
      </c>
      <c r="Q77" s="47"/>
      <c r="R77" s="43">
        <f t="shared" si="42"/>
        <v>0</v>
      </c>
      <c r="S77" s="41">
        <f t="shared" si="43"/>
        <v>0</v>
      </c>
      <c r="T77" s="42">
        <f t="shared" si="44"/>
        <v>0</v>
      </c>
      <c r="U77" s="38">
        <f t="shared" si="45"/>
        <v>0</v>
      </c>
      <c r="V77" s="44" t="str">
        <f t="shared" si="50"/>
        <v/>
      </c>
      <c r="W77" s="39" t="str">
        <f t="shared" si="51"/>
        <v/>
      </c>
      <c r="X77" s="38" t="str">
        <f t="shared" si="52"/>
        <v/>
      </c>
      <c r="Y77" s="39" t="str">
        <f t="shared" si="53"/>
        <v/>
      </c>
      <c r="AA77" s="2">
        <f t="shared" si="31"/>
        <v>4</v>
      </c>
      <c r="AB77" s="2" t="str">
        <f t="shared" si="32"/>
        <v/>
      </c>
      <c r="AC77" s="20" t="str">
        <f t="shared" si="33"/>
        <v/>
      </c>
      <c r="AD77" s="2">
        <f t="shared" si="34"/>
        <v>0</v>
      </c>
      <c r="AE77" s="21">
        <f t="shared" si="35"/>
        <v>1</v>
      </c>
      <c r="AF77" s="2">
        <f t="shared" si="36"/>
        <v>0</v>
      </c>
      <c r="AG77" s="21">
        <f t="shared" si="37"/>
        <v>1</v>
      </c>
    </row>
    <row r="78" spans="2:33">
      <c r="B78" s="47"/>
      <c r="C78" s="47"/>
      <c r="D78" s="47"/>
      <c r="E78" s="47"/>
      <c r="F78" s="36">
        <f t="shared" si="38"/>
        <v>0</v>
      </c>
      <c r="G78" s="47"/>
      <c r="H78" s="47"/>
      <c r="I78" s="51" t="str">
        <f t="shared" si="39"/>
        <v/>
      </c>
      <c r="J78" s="53" t="str">
        <f t="shared" si="40"/>
        <v/>
      </c>
      <c r="K78" s="47"/>
      <c r="L78" s="47"/>
      <c r="M78" s="47"/>
      <c r="N78" s="47"/>
      <c r="O78" s="47"/>
      <c r="P78" s="36">
        <f t="shared" si="41"/>
        <v>0</v>
      </c>
      <c r="Q78" s="47"/>
      <c r="R78" s="43">
        <f t="shared" si="42"/>
        <v>0</v>
      </c>
      <c r="S78" s="41">
        <f t="shared" si="43"/>
        <v>0</v>
      </c>
      <c r="T78" s="42">
        <f t="shared" si="44"/>
        <v>0</v>
      </c>
      <c r="U78" s="38">
        <f t="shared" si="45"/>
        <v>0</v>
      </c>
      <c r="V78" s="44" t="str">
        <f t="shared" si="50"/>
        <v/>
      </c>
      <c r="W78" s="39" t="str">
        <f t="shared" si="51"/>
        <v/>
      </c>
      <c r="X78" s="38" t="str">
        <f t="shared" si="52"/>
        <v/>
      </c>
      <c r="Y78" s="39" t="str">
        <f t="shared" si="53"/>
        <v/>
      </c>
      <c r="AA78" s="2">
        <f t="shared" si="31"/>
        <v>4</v>
      </c>
      <c r="AB78" s="2" t="str">
        <f t="shared" si="32"/>
        <v/>
      </c>
      <c r="AC78" s="20" t="str">
        <f t="shared" si="33"/>
        <v/>
      </c>
      <c r="AD78" s="2">
        <f t="shared" si="34"/>
        <v>0</v>
      </c>
      <c r="AE78" s="21">
        <f t="shared" si="35"/>
        <v>1</v>
      </c>
      <c r="AF78" s="2">
        <f t="shared" si="36"/>
        <v>0</v>
      </c>
      <c r="AG78" s="21">
        <f t="shared" si="37"/>
        <v>1</v>
      </c>
    </row>
    <row r="79" spans="2:33">
      <c r="B79" s="47"/>
      <c r="C79" s="47"/>
      <c r="D79" s="47"/>
      <c r="E79" s="47"/>
      <c r="F79" s="36">
        <f t="shared" si="38"/>
        <v>0</v>
      </c>
      <c r="G79" s="47"/>
      <c r="H79" s="47"/>
      <c r="I79" s="51" t="str">
        <f t="shared" si="39"/>
        <v/>
      </c>
      <c r="J79" s="53" t="str">
        <f t="shared" si="40"/>
        <v/>
      </c>
      <c r="K79" s="47"/>
      <c r="L79" s="47"/>
      <c r="M79" s="47"/>
      <c r="N79" s="47"/>
      <c r="O79" s="47"/>
      <c r="P79" s="36">
        <f t="shared" si="41"/>
        <v>0</v>
      </c>
      <c r="Q79" s="47"/>
      <c r="R79" s="43">
        <f t="shared" si="42"/>
        <v>0</v>
      </c>
      <c r="S79" s="41">
        <f t="shared" si="43"/>
        <v>0</v>
      </c>
      <c r="T79" s="42">
        <f t="shared" si="44"/>
        <v>0</v>
      </c>
      <c r="U79" s="38">
        <f t="shared" si="45"/>
        <v>0</v>
      </c>
      <c r="V79" s="44" t="str">
        <f t="shared" si="50"/>
        <v/>
      </c>
      <c r="W79" s="39" t="str">
        <f t="shared" si="51"/>
        <v/>
      </c>
      <c r="X79" s="38" t="str">
        <f t="shared" si="52"/>
        <v/>
      </c>
      <c r="Y79" s="39" t="str">
        <f t="shared" si="53"/>
        <v/>
      </c>
      <c r="AA79" s="2">
        <f t="shared" si="31"/>
        <v>4</v>
      </c>
      <c r="AB79" s="2" t="str">
        <f t="shared" si="32"/>
        <v/>
      </c>
      <c r="AC79" s="20" t="str">
        <f t="shared" si="33"/>
        <v/>
      </c>
      <c r="AD79" s="2">
        <f t="shared" si="34"/>
        <v>0</v>
      </c>
      <c r="AE79" s="21">
        <f t="shared" si="35"/>
        <v>1</v>
      </c>
      <c r="AF79" s="2">
        <f t="shared" si="36"/>
        <v>0</v>
      </c>
      <c r="AG79" s="21">
        <f t="shared" si="37"/>
        <v>1</v>
      </c>
    </row>
    <row r="80" spans="2:33">
      <c r="B80" s="47"/>
      <c r="C80" s="47"/>
      <c r="D80" s="47"/>
      <c r="E80" s="47"/>
      <c r="F80" s="36">
        <f t="shared" si="38"/>
        <v>0</v>
      </c>
      <c r="G80" s="47"/>
      <c r="H80" s="47"/>
      <c r="I80" s="51" t="str">
        <f t="shared" si="39"/>
        <v/>
      </c>
      <c r="J80" s="53" t="str">
        <f t="shared" si="40"/>
        <v/>
      </c>
      <c r="K80" s="47"/>
      <c r="L80" s="47"/>
      <c r="M80" s="47"/>
      <c r="N80" s="47"/>
      <c r="O80" s="47"/>
      <c r="P80" s="36">
        <f t="shared" si="41"/>
        <v>0</v>
      </c>
      <c r="Q80" s="47"/>
      <c r="R80" s="43">
        <f t="shared" si="42"/>
        <v>0</v>
      </c>
      <c r="S80" s="41">
        <f t="shared" si="43"/>
        <v>0</v>
      </c>
      <c r="T80" s="42">
        <f t="shared" si="44"/>
        <v>0</v>
      </c>
      <c r="U80" s="38">
        <f t="shared" si="45"/>
        <v>0</v>
      </c>
      <c r="V80" s="44" t="str">
        <f t="shared" si="50"/>
        <v/>
      </c>
      <c r="W80" s="39" t="str">
        <f t="shared" si="51"/>
        <v/>
      </c>
      <c r="X80" s="38" t="str">
        <f t="shared" si="52"/>
        <v/>
      </c>
      <c r="Y80" s="39" t="str">
        <f t="shared" si="53"/>
        <v/>
      </c>
      <c r="AA80" s="2">
        <f t="shared" si="31"/>
        <v>4</v>
      </c>
      <c r="AB80" s="2" t="str">
        <f t="shared" si="32"/>
        <v/>
      </c>
      <c r="AC80" s="20" t="str">
        <f t="shared" si="33"/>
        <v/>
      </c>
      <c r="AD80" s="2">
        <f t="shared" si="34"/>
        <v>0</v>
      </c>
      <c r="AE80" s="21">
        <f t="shared" si="35"/>
        <v>1</v>
      </c>
      <c r="AF80" s="2">
        <f t="shared" si="36"/>
        <v>0</v>
      </c>
      <c r="AG80" s="21">
        <f t="shared" si="37"/>
        <v>1</v>
      </c>
    </row>
    <row r="81" spans="2:33">
      <c r="B81" s="47"/>
      <c r="C81" s="47"/>
      <c r="D81" s="47"/>
      <c r="E81" s="47"/>
      <c r="F81" s="36">
        <f t="shared" si="38"/>
        <v>0</v>
      </c>
      <c r="G81" s="47"/>
      <c r="H81" s="47"/>
      <c r="I81" s="51" t="str">
        <f t="shared" si="39"/>
        <v/>
      </c>
      <c r="J81" s="53" t="str">
        <f t="shared" si="40"/>
        <v/>
      </c>
      <c r="K81" s="47"/>
      <c r="L81" s="47"/>
      <c r="M81" s="47"/>
      <c r="N81" s="47"/>
      <c r="O81" s="47"/>
      <c r="P81" s="36">
        <f t="shared" si="41"/>
        <v>0</v>
      </c>
      <c r="Q81" s="47"/>
      <c r="R81" s="43">
        <f t="shared" si="42"/>
        <v>0</v>
      </c>
      <c r="S81" s="41">
        <f t="shared" si="43"/>
        <v>0</v>
      </c>
      <c r="T81" s="42">
        <f t="shared" si="44"/>
        <v>0</v>
      </c>
      <c r="U81" s="38">
        <f t="shared" si="45"/>
        <v>0</v>
      </c>
      <c r="V81" s="44" t="str">
        <f t="shared" si="50"/>
        <v/>
      </c>
      <c r="W81" s="39" t="str">
        <f t="shared" si="51"/>
        <v/>
      </c>
      <c r="X81" s="38" t="str">
        <f t="shared" si="52"/>
        <v/>
      </c>
      <c r="Y81" s="39" t="str">
        <f t="shared" si="53"/>
        <v/>
      </c>
      <c r="AA81" s="2">
        <f t="shared" si="31"/>
        <v>4</v>
      </c>
      <c r="AB81" s="2" t="str">
        <f t="shared" si="32"/>
        <v/>
      </c>
      <c r="AC81" s="20" t="str">
        <f t="shared" si="33"/>
        <v/>
      </c>
      <c r="AD81" s="2">
        <f t="shared" si="34"/>
        <v>0</v>
      </c>
      <c r="AE81" s="21">
        <f t="shared" si="35"/>
        <v>1</v>
      </c>
      <c r="AF81" s="2">
        <f t="shared" si="36"/>
        <v>0</v>
      </c>
      <c r="AG81" s="21">
        <f t="shared" si="37"/>
        <v>1</v>
      </c>
    </row>
    <row r="82" spans="2:33">
      <c r="B82" s="47"/>
      <c r="C82" s="47"/>
      <c r="D82" s="47"/>
      <c r="E82" s="47"/>
      <c r="F82" s="36">
        <f t="shared" si="38"/>
        <v>0</v>
      </c>
      <c r="G82" s="47"/>
      <c r="H82" s="47"/>
      <c r="I82" s="51" t="str">
        <f t="shared" si="39"/>
        <v/>
      </c>
      <c r="J82" s="53" t="str">
        <f t="shared" si="40"/>
        <v/>
      </c>
      <c r="K82" s="47"/>
      <c r="L82" s="47"/>
      <c r="M82" s="47"/>
      <c r="N82" s="47"/>
      <c r="O82" s="47"/>
      <c r="P82" s="36">
        <f t="shared" si="41"/>
        <v>0</v>
      </c>
      <c r="Q82" s="47"/>
      <c r="R82" s="43">
        <f t="shared" si="42"/>
        <v>0</v>
      </c>
      <c r="S82" s="41">
        <f t="shared" si="43"/>
        <v>0</v>
      </c>
      <c r="T82" s="42">
        <f t="shared" si="44"/>
        <v>0</v>
      </c>
      <c r="U82" s="38">
        <f t="shared" si="45"/>
        <v>0</v>
      </c>
      <c r="V82" s="44" t="str">
        <f t="shared" si="50"/>
        <v/>
      </c>
      <c r="W82" s="39" t="str">
        <f t="shared" si="51"/>
        <v/>
      </c>
      <c r="X82" s="38" t="str">
        <f t="shared" si="52"/>
        <v/>
      </c>
      <c r="Y82" s="39" t="str">
        <f t="shared" si="53"/>
        <v/>
      </c>
      <c r="AA82" s="2">
        <f t="shared" si="31"/>
        <v>4</v>
      </c>
      <c r="AB82" s="2" t="str">
        <f t="shared" si="32"/>
        <v/>
      </c>
      <c r="AC82" s="20" t="str">
        <f t="shared" si="33"/>
        <v/>
      </c>
      <c r="AD82" s="2">
        <f t="shared" si="34"/>
        <v>0</v>
      </c>
      <c r="AE82" s="21">
        <f t="shared" si="35"/>
        <v>1</v>
      </c>
      <c r="AF82" s="2">
        <f t="shared" si="36"/>
        <v>0</v>
      </c>
      <c r="AG82" s="21">
        <f t="shared" si="37"/>
        <v>1</v>
      </c>
    </row>
    <row r="83" spans="2:33">
      <c r="B83" s="47"/>
      <c r="C83" s="47"/>
      <c r="D83" s="47"/>
      <c r="E83" s="47"/>
      <c r="F83" s="36">
        <f t="shared" si="38"/>
        <v>0</v>
      </c>
      <c r="G83" s="47"/>
      <c r="H83" s="47"/>
      <c r="I83" s="51" t="str">
        <f t="shared" si="39"/>
        <v/>
      </c>
      <c r="J83" s="53" t="str">
        <f t="shared" si="40"/>
        <v/>
      </c>
      <c r="K83" s="47"/>
      <c r="L83" s="47"/>
      <c r="M83" s="47"/>
      <c r="N83" s="47"/>
      <c r="O83" s="47"/>
      <c r="P83" s="36">
        <f t="shared" si="41"/>
        <v>0</v>
      </c>
      <c r="Q83" s="47"/>
      <c r="R83" s="43">
        <f t="shared" si="42"/>
        <v>0</v>
      </c>
      <c r="S83" s="41">
        <f t="shared" si="43"/>
        <v>0</v>
      </c>
      <c r="T83" s="42">
        <f t="shared" si="44"/>
        <v>0</v>
      </c>
      <c r="U83" s="38">
        <f t="shared" si="45"/>
        <v>0</v>
      </c>
      <c r="V83" s="44" t="str">
        <f t="shared" si="50"/>
        <v/>
      </c>
      <c r="W83" s="39" t="str">
        <f t="shared" si="51"/>
        <v/>
      </c>
      <c r="X83" s="38" t="str">
        <f t="shared" si="52"/>
        <v/>
      </c>
      <c r="Y83" s="39" t="str">
        <f t="shared" si="53"/>
        <v/>
      </c>
      <c r="AA83" s="2">
        <f t="shared" si="31"/>
        <v>4</v>
      </c>
      <c r="AB83" s="2" t="str">
        <f t="shared" si="32"/>
        <v/>
      </c>
      <c r="AC83" s="20" t="str">
        <f t="shared" si="33"/>
        <v/>
      </c>
      <c r="AD83" s="2">
        <f t="shared" si="34"/>
        <v>0</v>
      </c>
      <c r="AE83" s="21">
        <f t="shared" si="35"/>
        <v>1</v>
      </c>
      <c r="AF83" s="2">
        <f t="shared" si="36"/>
        <v>0</v>
      </c>
      <c r="AG83" s="21">
        <f t="shared" si="37"/>
        <v>1</v>
      </c>
    </row>
    <row r="84" spans="2:33">
      <c r="B84" s="47"/>
      <c r="C84" s="47"/>
      <c r="D84" s="47"/>
      <c r="E84" s="47"/>
      <c r="F84" s="36">
        <f t="shared" si="38"/>
        <v>0</v>
      </c>
      <c r="G84" s="47"/>
      <c r="H84" s="47"/>
      <c r="I84" s="51" t="str">
        <f t="shared" si="39"/>
        <v/>
      </c>
      <c r="J84" s="53" t="str">
        <f t="shared" si="40"/>
        <v/>
      </c>
      <c r="K84" s="47"/>
      <c r="L84" s="47"/>
      <c r="M84" s="47"/>
      <c r="N84" s="47"/>
      <c r="O84" s="47"/>
      <c r="P84" s="36">
        <f t="shared" si="41"/>
        <v>0</v>
      </c>
      <c r="Q84" s="47"/>
      <c r="R84" s="43">
        <f t="shared" si="42"/>
        <v>0</v>
      </c>
      <c r="S84" s="41">
        <f t="shared" si="43"/>
        <v>0</v>
      </c>
      <c r="T84" s="42">
        <f t="shared" si="44"/>
        <v>0</v>
      </c>
      <c r="U84" s="38">
        <f t="shared" si="45"/>
        <v>0</v>
      </c>
      <c r="V84" s="44" t="str">
        <f t="shared" si="50"/>
        <v/>
      </c>
      <c r="W84" s="39" t="str">
        <f t="shared" si="51"/>
        <v/>
      </c>
      <c r="X84" s="38" t="str">
        <f t="shared" si="52"/>
        <v/>
      </c>
      <c r="Y84" s="39" t="str">
        <f t="shared" si="53"/>
        <v/>
      </c>
      <c r="AA84" s="2">
        <f t="shared" si="31"/>
        <v>4</v>
      </c>
      <c r="AB84" s="2" t="str">
        <f t="shared" si="32"/>
        <v/>
      </c>
      <c r="AC84" s="20" t="str">
        <f t="shared" si="33"/>
        <v/>
      </c>
      <c r="AD84" s="2">
        <f t="shared" si="34"/>
        <v>0</v>
      </c>
      <c r="AE84" s="21">
        <f t="shared" si="35"/>
        <v>1</v>
      </c>
      <c r="AF84" s="2">
        <f t="shared" si="36"/>
        <v>0</v>
      </c>
      <c r="AG84" s="21">
        <f t="shared" si="37"/>
        <v>1</v>
      </c>
    </row>
    <row r="85" spans="2:33">
      <c r="B85" s="47"/>
      <c r="C85" s="47"/>
      <c r="D85" s="47"/>
      <c r="E85" s="47"/>
      <c r="F85" s="36">
        <f t="shared" si="38"/>
        <v>0</v>
      </c>
      <c r="G85" s="47"/>
      <c r="H85" s="47"/>
      <c r="I85" s="51" t="str">
        <f t="shared" si="39"/>
        <v/>
      </c>
      <c r="J85" s="53" t="str">
        <f t="shared" si="40"/>
        <v/>
      </c>
      <c r="K85" s="47"/>
      <c r="L85" s="47"/>
      <c r="M85" s="47"/>
      <c r="N85" s="47"/>
      <c r="O85" s="47"/>
      <c r="P85" s="36">
        <f t="shared" si="41"/>
        <v>0</v>
      </c>
      <c r="Q85" s="47"/>
      <c r="R85" s="43">
        <f t="shared" si="42"/>
        <v>0</v>
      </c>
      <c r="S85" s="41">
        <f t="shared" si="43"/>
        <v>0</v>
      </c>
      <c r="T85" s="42">
        <f t="shared" si="44"/>
        <v>0</v>
      </c>
      <c r="U85" s="38">
        <f t="shared" si="45"/>
        <v>0</v>
      </c>
      <c r="V85" s="44" t="str">
        <f t="shared" si="50"/>
        <v/>
      </c>
      <c r="W85" s="39" t="str">
        <f t="shared" si="51"/>
        <v/>
      </c>
      <c r="X85" s="38" t="str">
        <f t="shared" si="52"/>
        <v/>
      </c>
      <c r="Y85" s="39" t="str">
        <f t="shared" si="53"/>
        <v/>
      </c>
      <c r="AA85" s="2">
        <f t="shared" si="31"/>
        <v>4</v>
      </c>
      <c r="AB85" s="2" t="str">
        <f t="shared" si="32"/>
        <v/>
      </c>
      <c r="AC85" s="20" t="str">
        <f t="shared" si="33"/>
        <v/>
      </c>
      <c r="AD85" s="2">
        <f t="shared" si="34"/>
        <v>0</v>
      </c>
      <c r="AE85" s="21">
        <f t="shared" si="35"/>
        <v>1</v>
      </c>
      <c r="AF85" s="2">
        <f t="shared" si="36"/>
        <v>0</v>
      </c>
      <c r="AG85" s="21">
        <f t="shared" si="37"/>
        <v>1</v>
      </c>
    </row>
    <row r="86" spans="2:33">
      <c r="B86" s="47"/>
      <c r="C86" s="47"/>
      <c r="D86" s="47"/>
      <c r="E86" s="47"/>
      <c r="F86" s="36">
        <f t="shared" si="38"/>
        <v>0</v>
      </c>
      <c r="G86" s="47"/>
      <c r="H86" s="47"/>
      <c r="I86" s="51" t="str">
        <f t="shared" si="39"/>
        <v/>
      </c>
      <c r="J86" s="53" t="str">
        <f t="shared" si="40"/>
        <v/>
      </c>
      <c r="K86" s="47"/>
      <c r="L86" s="47"/>
      <c r="M86" s="47"/>
      <c r="N86" s="47"/>
      <c r="O86" s="47"/>
      <c r="P86" s="36">
        <f t="shared" si="41"/>
        <v>0</v>
      </c>
      <c r="Q86" s="47"/>
      <c r="R86" s="43">
        <f t="shared" si="42"/>
        <v>0</v>
      </c>
      <c r="S86" s="41">
        <f t="shared" si="43"/>
        <v>0</v>
      </c>
      <c r="T86" s="42">
        <f t="shared" si="44"/>
        <v>0</v>
      </c>
      <c r="U86" s="38">
        <f t="shared" si="45"/>
        <v>0</v>
      </c>
      <c r="V86" s="44" t="str">
        <f t="shared" si="50"/>
        <v/>
      </c>
      <c r="W86" s="39" t="str">
        <f t="shared" si="51"/>
        <v/>
      </c>
      <c r="X86" s="38" t="str">
        <f t="shared" si="52"/>
        <v/>
      </c>
      <c r="Y86" s="39" t="str">
        <f t="shared" si="53"/>
        <v/>
      </c>
      <c r="AA86" s="2">
        <f t="shared" si="31"/>
        <v>4</v>
      </c>
      <c r="AB86" s="2" t="str">
        <f t="shared" si="32"/>
        <v/>
      </c>
      <c r="AC86" s="20" t="str">
        <f t="shared" si="33"/>
        <v/>
      </c>
      <c r="AD86" s="2">
        <f t="shared" si="34"/>
        <v>0</v>
      </c>
      <c r="AE86" s="21">
        <f t="shared" si="35"/>
        <v>1</v>
      </c>
      <c r="AF86" s="2">
        <f t="shared" si="36"/>
        <v>0</v>
      </c>
      <c r="AG86" s="21">
        <f t="shared" si="37"/>
        <v>1</v>
      </c>
    </row>
    <row r="87" spans="2:33">
      <c r="B87" s="47"/>
      <c r="C87" s="47"/>
      <c r="D87" s="47"/>
      <c r="E87" s="47"/>
      <c r="F87" s="36">
        <f t="shared" si="38"/>
        <v>0</v>
      </c>
      <c r="G87" s="47"/>
      <c r="H87" s="47"/>
      <c r="I87" s="51" t="str">
        <f t="shared" si="39"/>
        <v/>
      </c>
      <c r="J87" s="53" t="str">
        <f t="shared" si="40"/>
        <v/>
      </c>
      <c r="K87" s="47"/>
      <c r="L87" s="47"/>
      <c r="M87" s="47"/>
      <c r="N87" s="47"/>
      <c r="O87" s="47"/>
      <c r="P87" s="36">
        <f t="shared" si="41"/>
        <v>0</v>
      </c>
      <c r="Q87" s="47"/>
      <c r="R87" s="43">
        <f t="shared" si="42"/>
        <v>0</v>
      </c>
      <c r="S87" s="41">
        <f t="shared" si="43"/>
        <v>0</v>
      </c>
      <c r="T87" s="42">
        <f t="shared" si="44"/>
        <v>0</v>
      </c>
      <c r="U87" s="38">
        <f t="shared" si="45"/>
        <v>0</v>
      </c>
      <c r="V87" s="44" t="str">
        <f t="shared" si="50"/>
        <v/>
      </c>
      <c r="W87" s="39" t="str">
        <f t="shared" si="51"/>
        <v/>
      </c>
      <c r="X87" s="38" t="str">
        <f t="shared" si="52"/>
        <v/>
      </c>
      <c r="Y87" s="39" t="str">
        <f t="shared" si="53"/>
        <v/>
      </c>
      <c r="AA87" s="2">
        <f t="shared" si="31"/>
        <v>4</v>
      </c>
      <c r="AB87" s="2" t="str">
        <f t="shared" si="32"/>
        <v/>
      </c>
      <c r="AC87" s="20" t="str">
        <f t="shared" si="33"/>
        <v/>
      </c>
      <c r="AD87" s="2">
        <f t="shared" si="34"/>
        <v>0</v>
      </c>
      <c r="AE87" s="21">
        <f t="shared" si="35"/>
        <v>1</v>
      </c>
      <c r="AF87" s="2">
        <f t="shared" si="36"/>
        <v>0</v>
      </c>
      <c r="AG87" s="21">
        <f t="shared" si="37"/>
        <v>1</v>
      </c>
    </row>
    <row r="88" spans="2:33">
      <c r="B88" s="47"/>
      <c r="C88" s="47"/>
      <c r="D88" s="47"/>
      <c r="E88" s="47"/>
      <c r="F88" s="36">
        <f t="shared" si="38"/>
        <v>0</v>
      </c>
      <c r="G88" s="47"/>
      <c r="H88" s="47"/>
      <c r="I88" s="51" t="str">
        <f t="shared" si="39"/>
        <v/>
      </c>
      <c r="J88" s="53" t="str">
        <f t="shared" si="40"/>
        <v/>
      </c>
      <c r="K88" s="47"/>
      <c r="L88" s="47"/>
      <c r="M88" s="47"/>
      <c r="N88" s="47"/>
      <c r="O88" s="47"/>
      <c r="P88" s="36">
        <f t="shared" si="41"/>
        <v>0</v>
      </c>
      <c r="Q88" s="47"/>
      <c r="R88" s="43">
        <f t="shared" si="42"/>
        <v>0</v>
      </c>
      <c r="S88" s="41">
        <f t="shared" si="43"/>
        <v>0</v>
      </c>
      <c r="T88" s="42">
        <f t="shared" si="44"/>
        <v>0</v>
      </c>
      <c r="U88" s="38">
        <f t="shared" si="45"/>
        <v>0</v>
      </c>
      <c r="V88" s="44" t="str">
        <f t="shared" si="50"/>
        <v/>
      </c>
      <c r="W88" s="39" t="str">
        <f t="shared" si="51"/>
        <v/>
      </c>
      <c r="X88" s="38" t="str">
        <f t="shared" si="52"/>
        <v/>
      </c>
      <c r="Y88" s="39" t="str">
        <f t="shared" si="53"/>
        <v/>
      </c>
      <c r="AA88" s="2">
        <f t="shared" si="31"/>
        <v>4</v>
      </c>
      <c r="AB88" s="2" t="str">
        <f t="shared" si="32"/>
        <v/>
      </c>
      <c r="AC88" s="20" t="str">
        <f t="shared" si="33"/>
        <v/>
      </c>
      <c r="AD88" s="2">
        <f t="shared" si="34"/>
        <v>0</v>
      </c>
      <c r="AE88" s="21">
        <f t="shared" si="35"/>
        <v>1</v>
      </c>
      <c r="AF88" s="2">
        <f t="shared" si="36"/>
        <v>0</v>
      </c>
      <c r="AG88" s="21">
        <f t="shared" si="37"/>
        <v>1</v>
      </c>
    </row>
    <row r="89" spans="2:33">
      <c r="B89" s="47"/>
      <c r="C89" s="47"/>
      <c r="D89" s="47"/>
      <c r="E89" s="47"/>
      <c r="F89" s="36">
        <f t="shared" si="38"/>
        <v>0</v>
      </c>
      <c r="G89" s="47"/>
      <c r="H89" s="47"/>
      <c r="I89" s="51" t="str">
        <f t="shared" si="39"/>
        <v/>
      </c>
      <c r="J89" s="53" t="str">
        <f t="shared" si="40"/>
        <v/>
      </c>
      <c r="K89" s="47"/>
      <c r="L89" s="47"/>
      <c r="M89" s="47"/>
      <c r="N89" s="47"/>
      <c r="O89" s="47"/>
      <c r="P89" s="36">
        <f t="shared" si="41"/>
        <v>0</v>
      </c>
      <c r="Q89" s="47"/>
      <c r="R89" s="43">
        <f t="shared" si="42"/>
        <v>0</v>
      </c>
      <c r="S89" s="41">
        <f t="shared" si="43"/>
        <v>0</v>
      </c>
      <c r="T89" s="42">
        <f t="shared" si="44"/>
        <v>0</v>
      </c>
      <c r="U89" s="38">
        <f t="shared" si="45"/>
        <v>0</v>
      </c>
      <c r="V89" s="44" t="str">
        <f t="shared" si="50"/>
        <v/>
      </c>
      <c r="W89" s="39" t="str">
        <f t="shared" si="51"/>
        <v/>
      </c>
      <c r="X89" s="38" t="str">
        <f t="shared" si="52"/>
        <v/>
      </c>
      <c r="Y89" s="39" t="str">
        <f t="shared" si="53"/>
        <v/>
      </c>
      <c r="AA89" s="2">
        <f t="shared" ref="AA89:AA105" si="54">IF(H89="ALU",2,4)</f>
        <v>4</v>
      </c>
      <c r="AB89" s="2" t="str">
        <f t="shared" ref="AB89:AB105" si="55">IF(G89="","",VLOOKUP(G89,table,AA89,0))</f>
        <v/>
      </c>
      <c r="AC89" s="20" t="str">
        <f t="shared" ref="AC89:AC105" si="56">IF(G89="","",VLOOKUP(G89,table,(AA89+1),0))</f>
        <v/>
      </c>
      <c r="AD89" s="2">
        <f t="shared" ref="AD89:AD105" si="57">M89</f>
        <v>0</v>
      </c>
      <c r="AE89" s="21">
        <f t="shared" ref="AE89:AE105" si="58">SIN(ACOS(AD89))</f>
        <v>1</v>
      </c>
      <c r="AF89" s="2">
        <f t="shared" ref="AF89:AF105" si="59">L89</f>
        <v>0</v>
      </c>
      <c r="AG89" s="21">
        <f t="shared" ref="AG89:AG105" si="60">SIN(ACOS(AF89))</f>
        <v>1</v>
      </c>
    </row>
    <row r="90" spans="2:33">
      <c r="B90" s="47"/>
      <c r="C90" s="47"/>
      <c r="D90" s="47"/>
      <c r="E90" s="47"/>
      <c r="F90" s="36">
        <f t="shared" si="38"/>
        <v>0</v>
      </c>
      <c r="G90" s="47"/>
      <c r="H90" s="47"/>
      <c r="I90" s="51" t="str">
        <f t="shared" si="39"/>
        <v/>
      </c>
      <c r="J90" s="53" t="str">
        <f t="shared" si="40"/>
        <v/>
      </c>
      <c r="K90" s="47"/>
      <c r="L90" s="47"/>
      <c r="M90" s="47"/>
      <c r="N90" s="47"/>
      <c r="O90" s="47"/>
      <c r="P90" s="36">
        <f t="shared" si="41"/>
        <v>0</v>
      </c>
      <c r="Q90" s="47"/>
      <c r="R90" s="43">
        <f t="shared" si="42"/>
        <v>0</v>
      </c>
      <c r="S90" s="41">
        <f t="shared" si="43"/>
        <v>0</v>
      </c>
      <c r="T90" s="42">
        <f t="shared" si="44"/>
        <v>0</v>
      </c>
      <c r="U90" s="38">
        <f t="shared" si="45"/>
        <v>0</v>
      </c>
      <c r="V90" s="44" t="str">
        <f t="shared" si="50"/>
        <v/>
      </c>
      <c r="W90" s="39" t="str">
        <f t="shared" si="51"/>
        <v/>
      </c>
      <c r="X90" s="38" t="str">
        <f t="shared" si="52"/>
        <v/>
      </c>
      <c r="Y90" s="39" t="str">
        <f t="shared" si="53"/>
        <v/>
      </c>
      <c r="AA90" s="2">
        <f t="shared" si="54"/>
        <v>4</v>
      </c>
      <c r="AB90" s="2" t="str">
        <f t="shared" si="55"/>
        <v/>
      </c>
      <c r="AC90" s="20" t="str">
        <f t="shared" si="56"/>
        <v/>
      </c>
      <c r="AD90" s="2">
        <f t="shared" si="57"/>
        <v>0</v>
      </c>
      <c r="AE90" s="21">
        <f t="shared" si="58"/>
        <v>1</v>
      </c>
      <c r="AF90" s="2">
        <f t="shared" si="59"/>
        <v>0</v>
      </c>
      <c r="AG90" s="21">
        <f t="shared" si="60"/>
        <v>1</v>
      </c>
    </row>
    <row r="91" spans="2:33">
      <c r="B91" s="47"/>
      <c r="C91" s="47"/>
      <c r="D91" s="47"/>
      <c r="E91" s="47"/>
      <c r="F91" s="36">
        <f t="shared" si="38"/>
        <v>0</v>
      </c>
      <c r="G91" s="47"/>
      <c r="H91" s="47"/>
      <c r="I91" s="51" t="str">
        <f t="shared" si="39"/>
        <v/>
      </c>
      <c r="J91" s="53" t="str">
        <f t="shared" si="40"/>
        <v/>
      </c>
      <c r="K91" s="47"/>
      <c r="L91" s="47"/>
      <c r="M91" s="47"/>
      <c r="N91" s="47"/>
      <c r="O91" s="47"/>
      <c r="P91" s="36">
        <f t="shared" si="41"/>
        <v>0</v>
      </c>
      <c r="Q91" s="47"/>
      <c r="R91" s="43">
        <f t="shared" si="42"/>
        <v>0</v>
      </c>
      <c r="S91" s="41">
        <f t="shared" si="43"/>
        <v>0</v>
      </c>
      <c r="T91" s="42">
        <f t="shared" si="44"/>
        <v>0</v>
      </c>
      <c r="U91" s="38">
        <f t="shared" si="45"/>
        <v>0</v>
      </c>
      <c r="V91" s="44" t="str">
        <f t="shared" si="50"/>
        <v/>
      </c>
      <c r="W91" s="39" t="str">
        <f t="shared" si="51"/>
        <v/>
      </c>
      <c r="X91" s="38" t="str">
        <f t="shared" si="52"/>
        <v/>
      </c>
      <c r="Y91" s="39" t="str">
        <f t="shared" si="53"/>
        <v/>
      </c>
      <c r="AA91" s="2">
        <f t="shared" si="54"/>
        <v>4</v>
      </c>
      <c r="AB91" s="2" t="str">
        <f t="shared" si="55"/>
        <v/>
      </c>
      <c r="AC91" s="20" t="str">
        <f t="shared" si="56"/>
        <v/>
      </c>
      <c r="AD91" s="2">
        <f t="shared" si="57"/>
        <v>0</v>
      </c>
      <c r="AE91" s="21">
        <f t="shared" si="58"/>
        <v>1</v>
      </c>
      <c r="AF91" s="2">
        <f t="shared" si="59"/>
        <v>0</v>
      </c>
      <c r="AG91" s="21">
        <f t="shared" si="60"/>
        <v>1</v>
      </c>
    </row>
    <row r="92" spans="2:33">
      <c r="B92" s="47"/>
      <c r="C92" s="47"/>
      <c r="D92" s="47"/>
      <c r="E92" s="47"/>
      <c r="F92" s="36">
        <f t="shared" si="38"/>
        <v>0</v>
      </c>
      <c r="G92" s="47"/>
      <c r="H92" s="47"/>
      <c r="I92" s="51" t="str">
        <f t="shared" si="39"/>
        <v/>
      </c>
      <c r="J92" s="53" t="str">
        <f t="shared" si="40"/>
        <v/>
      </c>
      <c r="K92" s="47"/>
      <c r="L92" s="47"/>
      <c r="M92" s="47"/>
      <c r="N92" s="47"/>
      <c r="O92" s="47"/>
      <c r="P92" s="36">
        <f t="shared" si="41"/>
        <v>0</v>
      </c>
      <c r="Q92" s="47"/>
      <c r="R92" s="43">
        <f t="shared" si="42"/>
        <v>0</v>
      </c>
      <c r="S92" s="41">
        <f t="shared" si="43"/>
        <v>0</v>
      </c>
      <c r="T92" s="42">
        <f t="shared" si="44"/>
        <v>0</v>
      </c>
      <c r="U92" s="38">
        <f t="shared" si="45"/>
        <v>0</v>
      </c>
      <c r="V92" s="44" t="str">
        <f t="shared" si="50"/>
        <v/>
      </c>
      <c r="W92" s="39" t="str">
        <f t="shared" si="51"/>
        <v/>
      </c>
      <c r="X92" s="38" t="str">
        <f t="shared" si="52"/>
        <v/>
      </c>
      <c r="Y92" s="39" t="str">
        <f t="shared" si="53"/>
        <v/>
      </c>
      <c r="AA92" s="2">
        <f t="shared" si="54"/>
        <v>4</v>
      </c>
      <c r="AB92" s="2" t="str">
        <f t="shared" si="55"/>
        <v/>
      </c>
      <c r="AC92" s="20" t="str">
        <f t="shared" si="56"/>
        <v/>
      </c>
      <c r="AD92" s="2">
        <f t="shared" si="57"/>
        <v>0</v>
      </c>
      <c r="AE92" s="21">
        <f t="shared" si="58"/>
        <v>1</v>
      </c>
      <c r="AF92" s="2">
        <f t="shared" si="59"/>
        <v>0</v>
      </c>
      <c r="AG92" s="21">
        <f t="shared" si="60"/>
        <v>1</v>
      </c>
    </row>
    <row r="93" spans="2:33">
      <c r="B93" s="47"/>
      <c r="C93" s="47"/>
      <c r="D93" s="47"/>
      <c r="E93" s="47"/>
      <c r="F93" s="36">
        <f t="shared" si="38"/>
        <v>0</v>
      </c>
      <c r="G93" s="47"/>
      <c r="H93" s="47"/>
      <c r="I93" s="51" t="str">
        <f t="shared" si="39"/>
        <v/>
      </c>
      <c r="J93" s="53" t="str">
        <f t="shared" si="40"/>
        <v/>
      </c>
      <c r="K93" s="47"/>
      <c r="L93" s="47"/>
      <c r="M93" s="47"/>
      <c r="N93" s="47"/>
      <c r="O93" s="47"/>
      <c r="P93" s="36">
        <f t="shared" si="41"/>
        <v>0</v>
      </c>
      <c r="Q93" s="47"/>
      <c r="R93" s="43">
        <f t="shared" si="42"/>
        <v>0</v>
      </c>
      <c r="S93" s="41">
        <f t="shared" si="43"/>
        <v>0</v>
      </c>
      <c r="T93" s="42">
        <f t="shared" si="44"/>
        <v>0</v>
      </c>
      <c r="U93" s="38">
        <f t="shared" si="45"/>
        <v>0</v>
      </c>
      <c r="V93" s="44" t="str">
        <f t="shared" si="50"/>
        <v/>
      </c>
      <c r="W93" s="39" t="str">
        <f t="shared" si="51"/>
        <v/>
      </c>
      <c r="X93" s="38" t="str">
        <f t="shared" si="52"/>
        <v/>
      </c>
      <c r="Y93" s="39" t="str">
        <f t="shared" si="53"/>
        <v/>
      </c>
      <c r="AA93" s="2">
        <f t="shared" si="54"/>
        <v>4</v>
      </c>
      <c r="AB93" s="2" t="str">
        <f t="shared" si="55"/>
        <v/>
      </c>
      <c r="AC93" s="20" t="str">
        <f t="shared" si="56"/>
        <v/>
      </c>
      <c r="AD93" s="2">
        <f t="shared" si="57"/>
        <v>0</v>
      </c>
      <c r="AE93" s="21">
        <f t="shared" si="58"/>
        <v>1</v>
      </c>
      <c r="AF93" s="2">
        <f t="shared" si="59"/>
        <v>0</v>
      </c>
      <c r="AG93" s="21">
        <f t="shared" si="60"/>
        <v>1</v>
      </c>
    </row>
    <row r="94" spans="2:33">
      <c r="B94" s="47"/>
      <c r="C94" s="47"/>
      <c r="D94" s="47"/>
      <c r="E94" s="47"/>
      <c r="F94" s="36">
        <f t="shared" si="38"/>
        <v>0</v>
      </c>
      <c r="G94" s="47"/>
      <c r="H94" s="47"/>
      <c r="I94" s="51" t="str">
        <f t="shared" si="39"/>
        <v/>
      </c>
      <c r="J94" s="53" t="str">
        <f t="shared" si="40"/>
        <v/>
      </c>
      <c r="K94" s="47"/>
      <c r="L94" s="47"/>
      <c r="M94" s="47"/>
      <c r="N94" s="47"/>
      <c r="O94" s="47"/>
      <c r="P94" s="36">
        <f t="shared" si="41"/>
        <v>0</v>
      </c>
      <c r="Q94" s="47"/>
      <c r="R94" s="43">
        <f t="shared" si="42"/>
        <v>0</v>
      </c>
      <c r="S94" s="41">
        <f t="shared" si="43"/>
        <v>0</v>
      </c>
      <c r="T94" s="42">
        <f t="shared" si="44"/>
        <v>0</v>
      </c>
      <c r="U94" s="38">
        <f t="shared" si="45"/>
        <v>0</v>
      </c>
      <c r="V94" s="44" t="str">
        <f t="shared" si="50"/>
        <v/>
      </c>
      <c r="W94" s="39" t="str">
        <f t="shared" si="51"/>
        <v/>
      </c>
      <c r="X94" s="38" t="str">
        <f t="shared" si="52"/>
        <v/>
      </c>
      <c r="Y94" s="39" t="str">
        <f t="shared" si="53"/>
        <v/>
      </c>
      <c r="AA94" s="2">
        <f t="shared" si="54"/>
        <v>4</v>
      </c>
      <c r="AB94" s="2" t="str">
        <f t="shared" si="55"/>
        <v/>
      </c>
      <c r="AC94" s="20" t="str">
        <f t="shared" si="56"/>
        <v/>
      </c>
      <c r="AD94" s="2">
        <f t="shared" si="57"/>
        <v>0</v>
      </c>
      <c r="AE94" s="21">
        <f t="shared" si="58"/>
        <v>1</v>
      </c>
      <c r="AF94" s="2">
        <f t="shared" si="59"/>
        <v>0</v>
      </c>
      <c r="AG94" s="21">
        <f t="shared" si="60"/>
        <v>1</v>
      </c>
    </row>
    <row r="95" spans="2:33">
      <c r="B95" s="47"/>
      <c r="C95" s="47"/>
      <c r="D95" s="47"/>
      <c r="E95" s="47"/>
      <c r="F95" s="36">
        <f t="shared" si="38"/>
        <v>0</v>
      </c>
      <c r="G95" s="47"/>
      <c r="H95" s="47"/>
      <c r="I95" s="51" t="str">
        <f t="shared" si="39"/>
        <v/>
      </c>
      <c r="J95" s="53" t="str">
        <f t="shared" si="40"/>
        <v/>
      </c>
      <c r="K95" s="47"/>
      <c r="L95" s="47"/>
      <c r="M95" s="47"/>
      <c r="N95" s="47"/>
      <c r="O95" s="47"/>
      <c r="P95" s="36">
        <f t="shared" si="41"/>
        <v>0</v>
      </c>
      <c r="Q95" s="47"/>
      <c r="R95" s="43">
        <f t="shared" si="42"/>
        <v>0</v>
      </c>
      <c r="S95" s="41">
        <f t="shared" si="43"/>
        <v>0</v>
      </c>
      <c r="T95" s="42">
        <f t="shared" si="44"/>
        <v>0</v>
      </c>
      <c r="U95" s="38">
        <f t="shared" si="45"/>
        <v>0</v>
      </c>
      <c r="V95" s="44" t="str">
        <f t="shared" si="50"/>
        <v/>
      </c>
      <c r="W95" s="39" t="str">
        <f t="shared" si="51"/>
        <v/>
      </c>
      <c r="X95" s="38" t="str">
        <f t="shared" si="52"/>
        <v/>
      </c>
      <c r="Y95" s="39" t="str">
        <f t="shared" si="53"/>
        <v/>
      </c>
      <c r="AA95" s="2">
        <f t="shared" si="54"/>
        <v>4</v>
      </c>
      <c r="AB95" s="2" t="str">
        <f t="shared" si="55"/>
        <v/>
      </c>
      <c r="AC95" s="20" t="str">
        <f t="shared" si="56"/>
        <v/>
      </c>
      <c r="AD95" s="2">
        <f t="shared" si="57"/>
        <v>0</v>
      </c>
      <c r="AE95" s="21">
        <f t="shared" si="58"/>
        <v>1</v>
      </c>
      <c r="AF95" s="2">
        <f t="shared" si="59"/>
        <v>0</v>
      </c>
      <c r="AG95" s="21">
        <f t="shared" si="60"/>
        <v>1</v>
      </c>
    </row>
    <row r="96" spans="2:33">
      <c r="B96" s="47"/>
      <c r="C96" s="47"/>
      <c r="D96" s="47"/>
      <c r="E96" s="47"/>
      <c r="F96" s="36">
        <f t="shared" ref="F96:F105" si="61">D96*E96</f>
        <v>0</v>
      </c>
      <c r="G96" s="47"/>
      <c r="H96" s="47"/>
      <c r="I96" s="51" t="str">
        <f t="shared" ref="I96:I105" si="62">AB96</f>
        <v/>
      </c>
      <c r="J96" s="53" t="str">
        <f t="shared" ref="J96:J105" si="63">AC96</f>
        <v/>
      </c>
      <c r="K96" s="47"/>
      <c r="L96" s="47"/>
      <c r="M96" s="47"/>
      <c r="N96" s="47"/>
      <c r="O96" s="47"/>
      <c r="P96" s="36">
        <f t="shared" ref="P96:P105" si="64">N96+O96</f>
        <v>0</v>
      </c>
      <c r="Q96" s="47"/>
      <c r="R96" s="43">
        <f t="shared" ref="R96:R105" si="65">IF(N96=0,0,(N96/(1.732*K96*L96))*1000)</f>
        <v>0</v>
      </c>
      <c r="S96" s="41">
        <f t="shared" ref="S96:S105" si="66">IF(O96=0,0,((O96/(1.732*K96*M96))*1000)*Q96)</f>
        <v>0</v>
      </c>
      <c r="T96" s="42">
        <f t="shared" ref="T96:T105" si="67">R96+S96</f>
        <v>0</v>
      </c>
      <c r="U96" s="38">
        <f t="shared" ref="U96:U105" si="68">IF(P96=0,0,(P96/(1.732*K96*M96))*1000)</f>
        <v>0</v>
      </c>
      <c r="V96" s="44" t="str">
        <f t="shared" si="50"/>
        <v/>
      </c>
      <c r="W96" s="39" t="str">
        <f t="shared" si="51"/>
        <v/>
      </c>
      <c r="X96" s="38" t="str">
        <f t="shared" si="52"/>
        <v/>
      </c>
      <c r="Y96" s="39" t="str">
        <f t="shared" si="53"/>
        <v/>
      </c>
      <c r="AA96" s="2">
        <f t="shared" si="54"/>
        <v>4</v>
      </c>
      <c r="AB96" s="2" t="str">
        <f t="shared" si="55"/>
        <v/>
      </c>
      <c r="AC96" s="20" t="str">
        <f t="shared" si="56"/>
        <v/>
      </c>
      <c r="AD96" s="2">
        <f t="shared" si="57"/>
        <v>0</v>
      </c>
      <c r="AE96" s="21">
        <f t="shared" si="58"/>
        <v>1</v>
      </c>
      <c r="AF96" s="2">
        <f t="shared" si="59"/>
        <v>0</v>
      </c>
      <c r="AG96" s="21">
        <f t="shared" si="60"/>
        <v>1</v>
      </c>
    </row>
    <row r="97" spans="2:33">
      <c r="B97" s="47"/>
      <c r="C97" s="47"/>
      <c r="D97" s="47"/>
      <c r="E97" s="47"/>
      <c r="F97" s="36">
        <f t="shared" si="61"/>
        <v>0</v>
      </c>
      <c r="G97" s="47"/>
      <c r="H97" s="47"/>
      <c r="I97" s="51" t="str">
        <f t="shared" si="62"/>
        <v/>
      </c>
      <c r="J97" s="53" t="str">
        <f t="shared" si="63"/>
        <v/>
      </c>
      <c r="K97" s="47"/>
      <c r="L97" s="47"/>
      <c r="M97" s="47"/>
      <c r="N97" s="47"/>
      <c r="O97" s="47"/>
      <c r="P97" s="36">
        <f t="shared" si="64"/>
        <v>0</v>
      </c>
      <c r="Q97" s="47"/>
      <c r="R97" s="43">
        <f t="shared" si="65"/>
        <v>0</v>
      </c>
      <c r="S97" s="41">
        <f t="shared" si="66"/>
        <v>0</v>
      </c>
      <c r="T97" s="42">
        <f t="shared" si="67"/>
        <v>0</v>
      </c>
      <c r="U97" s="38">
        <f t="shared" si="68"/>
        <v>0</v>
      </c>
      <c r="V97" s="44" t="str">
        <f t="shared" si="50"/>
        <v/>
      </c>
      <c r="W97" s="39" t="str">
        <f t="shared" si="51"/>
        <v/>
      </c>
      <c r="X97" s="38" t="str">
        <f t="shared" si="52"/>
        <v/>
      </c>
      <c r="Y97" s="39" t="str">
        <f t="shared" si="53"/>
        <v/>
      </c>
      <c r="AA97" s="2">
        <f t="shared" si="54"/>
        <v>4</v>
      </c>
      <c r="AB97" s="2" t="str">
        <f t="shared" si="55"/>
        <v/>
      </c>
      <c r="AC97" s="20" t="str">
        <f t="shared" si="56"/>
        <v/>
      </c>
      <c r="AD97" s="2">
        <f t="shared" si="57"/>
        <v>0</v>
      </c>
      <c r="AE97" s="21">
        <f t="shared" si="58"/>
        <v>1</v>
      </c>
      <c r="AF97" s="2">
        <f t="shared" si="59"/>
        <v>0</v>
      </c>
      <c r="AG97" s="21">
        <f t="shared" si="60"/>
        <v>1</v>
      </c>
    </row>
    <row r="98" spans="2:33">
      <c r="B98" s="47"/>
      <c r="C98" s="47"/>
      <c r="D98" s="47"/>
      <c r="E98" s="47"/>
      <c r="F98" s="36">
        <f t="shared" si="61"/>
        <v>0</v>
      </c>
      <c r="G98" s="47"/>
      <c r="H98" s="47"/>
      <c r="I98" s="51" t="str">
        <f t="shared" si="62"/>
        <v/>
      </c>
      <c r="J98" s="53" t="str">
        <f t="shared" si="63"/>
        <v/>
      </c>
      <c r="K98" s="47"/>
      <c r="L98" s="47"/>
      <c r="M98" s="47"/>
      <c r="N98" s="47"/>
      <c r="O98" s="47"/>
      <c r="P98" s="36">
        <f t="shared" si="64"/>
        <v>0</v>
      </c>
      <c r="Q98" s="47"/>
      <c r="R98" s="43">
        <f t="shared" si="65"/>
        <v>0</v>
      </c>
      <c r="S98" s="41">
        <f t="shared" si="66"/>
        <v>0</v>
      </c>
      <c r="T98" s="42">
        <f t="shared" si="67"/>
        <v>0</v>
      </c>
      <c r="U98" s="38">
        <f t="shared" si="68"/>
        <v>0</v>
      </c>
      <c r="V98" s="44" t="str">
        <f t="shared" si="50"/>
        <v/>
      </c>
      <c r="W98" s="39" t="str">
        <f t="shared" si="51"/>
        <v/>
      </c>
      <c r="X98" s="38" t="str">
        <f t="shared" si="52"/>
        <v/>
      </c>
      <c r="Y98" s="39" t="str">
        <f t="shared" si="53"/>
        <v/>
      </c>
      <c r="AA98" s="2">
        <f t="shared" si="54"/>
        <v>4</v>
      </c>
      <c r="AB98" s="2" t="str">
        <f t="shared" si="55"/>
        <v/>
      </c>
      <c r="AC98" s="20" t="str">
        <f t="shared" si="56"/>
        <v/>
      </c>
      <c r="AD98" s="2">
        <f t="shared" si="57"/>
        <v>0</v>
      </c>
      <c r="AE98" s="21">
        <f t="shared" si="58"/>
        <v>1</v>
      </c>
      <c r="AF98" s="2">
        <f t="shared" si="59"/>
        <v>0</v>
      </c>
      <c r="AG98" s="21">
        <f t="shared" si="60"/>
        <v>1</v>
      </c>
    </row>
    <row r="99" spans="2:33">
      <c r="B99" s="47"/>
      <c r="C99" s="47"/>
      <c r="D99" s="47"/>
      <c r="E99" s="47"/>
      <c r="F99" s="36">
        <f t="shared" si="61"/>
        <v>0</v>
      </c>
      <c r="G99" s="47"/>
      <c r="H99" s="47"/>
      <c r="I99" s="51" t="str">
        <f t="shared" si="62"/>
        <v/>
      </c>
      <c r="J99" s="53" t="str">
        <f t="shared" si="63"/>
        <v/>
      </c>
      <c r="K99" s="47"/>
      <c r="L99" s="47"/>
      <c r="M99" s="47"/>
      <c r="N99" s="47"/>
      <c r="O99" s="47"/>
      <c r="P99" s="36">
        <f t="shared" si="64"/>
        <v>0</v>
      </c>
      <c r="Q99" s="47"/>
      <c r="R99" s="43">
        <f t="shared" si="65"/>
        <v>0</v>
      </c>
      <c r="S99" s="41">
        <f t="shared" si="66"/>
        <v>0</v>
      </c>
      <c r="T99" s="42">
        <f t="shared" si="67"/>
        <v>0</v>
      </c>
      <c r="U99" s="38">
        <f t="shared" si="68"/>
        <v>0</v>
      </c>
      <c r="V99" s="44" t="str">
        <f t="shared" si="50"/>
        <v/>
      </c>
      <c r="W99" s="39" t="str">
        <f t="shared" si="51"/>
        <v/>
      </c>
      <c r="X99" s="38" t="str">
        <f t="shared" si="52"/>
        <v/>
      </c>
      <c r="Y99" s="39" t="str">
        <f t="shared" si="53"/>
        <v/>
      </c>
      <c r="AA99" s="2">
        <f t="shared" si="54"/>
        <v>4</v>
      </c>
      <c r="AB99" s="2" t="str">
        <f t="shared" si="55"/>
        <v/>
      </c>
      <c r="AC99" s="20" t="str">
        <f t="shared" si="56"/>
        <v/>
      </c>
      <c r="AD99" s="2">
        <f t="shared" si="57"/>
        <v>0</v>
      </c>
      <c r="AE99" s="21">
        <f t="shared" si="58"/>
        <v>1</v>
      </c>
      <c r="AF99" s="2">
        <f t="shared" si="59"/>
        <v>0</v>
      </c>
      <c r="AG99" s="21">
        <f t="shared" si="60"/>
        <v>1</v>
      </c>
    </row>
    <row r="100" spans="2:33">
      <c r="B100" s="47"/>
      <c r="C100" s="47"/>
      <c r="D100" s="47"/>
      <c r="E100" s="47"/>
      <c r="F100" s="36">
        <f t="shared" si="61"/>
        <v>0</v>
      </c>
      <c r="G100" s="47"/>
      <c r="H100" s="47"/>
      <c r="I100" s="51" t="str">
        <f t="shared" si="62"/>
        <v/>
      </c>
      <c r="J100" s="53" t="str">
        <f t="shared" si="63"/>
        <v/>
      </c>
      <c r="K100" s="47"/>
      <c r="L100" s="47"/>
      <c r="M100" s="47"/>
      <c r="N100" s="47"/>
      <c r="O100" s="47"/>
      <c r="P100" s="36">
        <f t="shared" si="64"/>
        <v>0</v>
      </c>
      <c r="Q100" s="47"/>
      <c r="R100" s="43">
        <f t="shared" si="65"/>
        <v>0</v>
      </c>
      <c r="S100" s="41">
        <f t="shared" si="66"/>
        <v>0</v>
      </c>
      <c r="T100" s="42">
        <f t="shared" si="67"/>
        <v>0</v>
      </c>
      <c r="U100" s="38">
        <f t="shared" si="68"/>
        <v>0</v>
      </c>
      <c r="V100" s="44" t="str">
        <f t="shared" si="50"/>
        <v/>
      </c>
      <c r="W100" s="39" t="str">
        <f t="shared" si="51"/>
        <v/>
      </c>
      <c r="X100" s="38" t="str">
        <f t="shared" si="52"/>
        <v/>
      </c>
      <c r="Y100" s="39" t="str">
        <f t="shared" si="53"/>
        <v/>
      </c>
      <c r="AA100" s="2">
        <f t="shared" si="54"/>
        <v>4</v>
      </c>
      <c r="AB100" s="2" t="str">
        <f t="shared" si="55"/>
        <v/>
      </c>
      <c r="AC100" s="20" t="str">
        <f t="shared" si="56"/>
        <v/>
      </c>
      <c r="AD100" s="2">
        <f t="shared" si="57"/>
        <v>0</v>
      </c>
      <c r="AE100" s="21">
        <f t="shared" si="58"/>
        <v>1</v>
      </c>
      <c r="AF100" s="2">
        <f t="shared" si="59"/>
        <v>0</v>
      </c>
      <c r="AG100" s="21">
        <f t="shared" si="60"/>
        <v>1</v>
      </c>
    </row>
    <row r="101" spans="2:33">
      <c r="B101" s="47"/>
      <c r="C101" s="47"/>
      <c r="D101" s="47"/>
      <c r="E101" s="47"/>
      <c r="F101" s="36">
        <f t="shared" si="61"/>
        <v>0</v>
      </c>
      <c r="G101" s="47"/>
      <c r="H101" s="47"/>
      <c r="I101" s="51" t="str">
        <f t="shared" si="62"/>
        <v/>
      </c>
      <c r="J101" s="53" t="str">
        <f t="shared" si="63"/>
        <v/>
      </c>
      <c r="K101" s="47"/>
      <c r="L101" s="47"/>
      <c r="M101" s="47"/>
      <c r="N101" s="47"/>
      <c r="O101" s="47"/>
      <c r="P101" s="36">
        <f t="shared" si="64"/>
        <v>0</v>
      </c>
      <c r="Q101" s="47"/>
      <c r="R101" s="43">
        <f t="shared" si="65"/>
        <v>0</v>
      </c>
      <c r="S101" s="41">
        <f t="shared" si="66"/>
        <v>0</v>
      </c>
      <c r="T101" s="42">
        <f t="shared" si="67"/>
        <v>0</v>
      </c>
      <c r="U101" s="38">
        <f t="shared" si="68"/>
        <v>0</v>
      </c>
      <c r="V101" s="44" t="str">
        <f t="shared" si="50"/>
        <v/>
      </c>
      <c r="W101" s="39" t="str">
        <f t="shared" si="51"/>
        <v/>
      </c>
      <c r="X101" s="38" t="str">
        <f t="shared" si="52"/>
        <v/>
      </c>
      <c r="Y101" s="39" t="str">
        <f t="shared" si="53"/>
        <v/>
      </c>
      <c r="AA101" s="2">
        <f t="shared" si="54"/>
        <v>4</v>
      </c>
      <c r="AB101" s="2" t="str">
        <f t="shared" si="55"/>
        <v/>
      </c>
      <c r="AC101" s="20" t="str">
        <f t="shared" si="56"/>
        <v/>
      </c>
      <c r="AD101" s="2">
        <f t="shared" si="57"/>
        <v>0</v>
      </c>
      <c r="AE101" s="21">
        <f t="shared" si="58"/>
        <v>1</v>
      </c>
      <c r="AF101" s="2">
        <f t="shared" si="59"/>
        <v>0</v>
      </c>
      <c r="AG101" s="21">
        <f t="shared" si="60"/>
        <v>1</v>
      </c>
    </row>
    <row r="102" spans="2:33">
      <c r="B102" s="47"/>
      <c r="C102" s="47"/>
      <c r="D102" s="47"/>
      <c r="E102" s="47"/>
      <c r="F102" s="36">
        <f t="shared" si="61"/>
        <v>0</v>
      </c>
      <c r="G102" s="47"/>
      <c r="H102" s="47"/>
      <c r="I102" s="51" t="str">
        <f t="shared" si="62"/>
        <v/>
      </c>
      <c r="J102" s="53" t="str">
        <f t="shared" si="63"/>
        <v/>
      </c>
      <c r="K102" s="47"/>
      <c r="L102" s="47"/>
      <c r="M102" s="47"/>
      <c r="N102" s="47"/>
      <c r="O102" s="47"/>
      <c r="P102" s="36">
        <f t="shared" si="64"/>
        <v>0</v>
      </c>
      <c r="Q102" s="47"/>
      <c r="R102" s="43">
        <f t="shared" si="65"/>
        <v>0</v>
      </c>
      <c r="S102" s="41">
        <f t="shared" si="66"/>
        <v>0</v>
      </c>
      <c r="T102" s="42">
        <f t="shared" si="67"/>
        <v>0</v>
      </c>
      <c r="U102" s="38">
        <f t="shared" si="68"/>
        <v>0</v>
      </c>
      <c r="V102" s="44" t="str">
        <f t="shared" si="50"/>
        <v/>
      </c>
      <c r="W102" s="39" t="str">
        <f t="shared" si="51"/>
        <v/>
      </c>
      <c r="X102" s="38" t="str">
        <f t="shared" si="52"/>
        <v/>
      </c>
      <c r="Y102" s="39" t="str">
        <f t="shared" si="53"/>
        <v/>
      </c>
      <c r="AA102" s="2">
        <f t="shared" si="54"/>
        <v>4</v>
      </c>
      <c r="AB102" s="2" t="str">
        <f t="shared" si="55"/>
        <v/>
      </c>
      <c r="AC102" s="20" t="str">
        <f t="shared" si="56"/>
        <v/>
      </c>
      <c r="AD102" s="2">
        <f t="shared" si="57"/>
        <v>0</v>
      </c>
      <c r="AE102" s="21">
        <f t="shared" si="58"/>
        <v>1</v>
      </c>
      <c r="AF102" s="2">
        <f t="shared" si="59"/>
        <v>0</v>
      </c>
      <c r="AG102" s="21">
        <f t="shared" si="60"/>
        <v>1</v>
      </c>
    </row>
    <row r="103" spans="2:33">
      <c r="B103" s="47"/>
      <c r="C103" s="47"/>
      <c r="D103" s="47"/>
      <c r="E103" s="47"/>
      <c r="F103" s="36">
        <f t="shared" si="61"/>
        <v>0</v>
      </c>
      <c r="G103" s="47"/>
      <c r="H103" s="47"/>
      <c r="I103" s="51" t="str">
        <f t="shared" si="62"/>
        <v/>
      </c>
      <c r="J103" s="53" t="str">
        <f t="shared" si="63"/>
        <v/>
      </c>
      <c r="K103" s="47"/>
      <c r="L103" s="47"/>
      <c r="M103" s="47"/>
      <c r="N103" s="47"/>
      <c r="O103" s="47"/>
      <c r="P103" s="36">
        <f t="shared" si="64"/>
        <v>0</v>
      </c>
      <c r="Q103" s="47"/>
      <c r="R103" s="43">
        <f t="shared" si="65"/>
        <v>0</v>
      </c>
      <c r="S103" s="41">
        <f t="shared" si="66"/>
        <v>0</v>
      </c>
      <c r="T103" s="42">
        <f t="shared" si="67"/>
        <v>0</v>
      </c>
      <c r="U103" s="38">
        <f t="shared" si="68"/>
        <v>0</v>
      </c>
      <c r="V103" s="44" t="str">
        <f t="shared" ref="V103:V105" si="69">IF(T103=0,"",(1.732*T103*((AB103*AF103)+(AC103*AG103))*(D103/1000))/E103)</f>
        <v/>
      </c>
      <c r="W103" s="39" t="str">
        <f t="shared" ref="W103:W105" si="70">IF(V103="","",(V103/K103))</f>
        <v/>
      </c>
      <c r="X103" s="38" t="str">
        <f t="shared" ref="X103:X105" si="71">IF(U103=0,"",(1.732*U103*((AB103*AD103)+(AC103*AE103))*(D103/1000))/E103)</f>
        <v/>
      </c>
      <c r="Y103" s="39" t="str">
        <f t="shared" ref="Y103:Y105" si="72">IF(X103="","",(X103/K103))</f>
        <v/>
      </c>
      <c r="AA103" s="2">
        <f t="shared" si="54"/>
        <v>4</v>
      </c>
      <c r="AB103" s="2" t="str">
        <f t="shared" si="55"/>
        <v/>
      </c>
      <c r="AC103" s="20" t="str">
        <f t="shared" si="56"/>
        <v/>
      </c>
      <c r="AD103" s="2">
        <f t="shared" si="57"/>
        <v>0</v>
      </c>
      <c r="AE103" s="21">
        <f t="shared" si="58"/>
        <v>1</v>
      </c>
      <c r="AF103" s="2">
        <f t="shared" si="59"/>
        <v>0</v>
      </c>
      <c r="AG103" s="21">
        <f t="shared" si="60"/>
        <v>1</v>
      </c>
    </row>
    <row r="104" spans="2:33">
      <c r="B104" s="47"/>
      <c r="C104" s="47"/>
      <c r="D104" s="47"/>
      <c r="E104" s="47"/>
      <c r="F104" s="36">
        <f t="shared" si="61"/>
        <v>0</v>
      </c>
      <c r="G104" s="47"/>
      <c r="H104" s="47"/>
      <c r="I104" s="51" t="str">
        <f t="shared" si="62"/>
        <v/>
      </c>
      <c r="J104" s="53" t="str">
        <f t="shared" si="63"/>
        <v/>
      </c>
      <c r="K104" s="47"/>
      <c r="L104" s="47"/>
      <c r="M104" s="47"/>
      <c r="N104" s="47"/>
      <c r="O104" s="47"/>
      <c r="P104" s="36">
        <f t="shared" si="64"/>
        <v>0</v>
      </c>
      <c r="Q104" s="47"/>
      <c r="R104" s="43">
        <f t="shared" si="65"/>
        <v>0</v>
      </c>
      <c r="S104" s="41">
        <f t="shared" si="66"/>
        <v>0</v>
      </c>
      <c r="T104" s="42">
        <f t="shared" si="67"/>
        <v>0</v>
      </c>
      <c r="U104" s="38">
        <f t="shared" si="68"/>
        <v>0</v>
      </c>
      <c r="V104" s="44" t="str">
        <f t="shared" si="69"/>
        <v/>
      </c>
      <c r="W104" s="39" t="str">
        <f t="shared" si="70"/>
        <v/>
      </c>
      <c r="X104" s="38" t="str">
        <f t="shared" si="71"/>
        <v/>
      </c>
      <c r="Y104" s="39" t="str">
        <f t="shared" si="72"/>
        <v/>
      </c>
      <c r="AA104" s="2">
        <f t="shared" si="54"/>
        <v>4</v>
      </c>
      <c r="AB104" s="2" t="str">
        <f t="shared" si="55"/>
        <v/>
      </c>
      <c r="AC104" s="20" t="str">
        <f t="shared" si="56"/>
        <v/>
      </c>
      <c r="AD104" s="2">
        <f t="shared" si="57"/>
        <v>0</v>
      </c>
      <c r="AE104" s="21">
        <f t="shared" si="58"/>
        <v>1</v>
      </c>
      <c r="AF104" s="2">
        <f t="shared" si="59"/>
        <v>0</v>
      </c>
      <c r="AG104" s="21">
        <f t="shared" si="60"/>
        <v>1</v>
      </c>
    </row>
    <row r="105" spans="2:33">
      <c r="B105" s="47"/>
      <c r="C105" s="47"/>
      <c r="D105" s="47"/>
      <c r="E105" s="47"/>
      <c r="F105" s="36">
        <f t="shared" si="61"/>
        <v>0</v>
      </c>
      <c r="G105" s="47"/>
      <c r="H105" s="47"/>
      <c r="I105" s="51" t="str">
        <f t="shared" si="62"/>
        <v/>
      </c>
      <c r="J105" s="53" t="str">
        <f t="shared" si="63"/>
        <v/>
      </c>
      <c r="K105" s="47"/>
      <c r="L105" s="47"/>
      <c r="M105" s="47"/>
      <c r="N105" s="47"/>
      <c r="O105" s="47"/>
      <c r="P105" s="36">
        <f t="shared" si="64"/>
        <v>0</v>
      </c>
      <c r="Q105" s="47"/>
      <c r="R105" s="43">
        <f t="shared" si="65"/>
        <v>0</v>
      </c>
      <c r="S105" s="41">
        <f t="shared" si="66"/>
        <v>0</v>
      </c>
      <c r="T105" s="42">
        <f t="shared" si="67"/>
        <v>0</v>
      </c>
      <c r="U105" s="38">
        <f t="shared" si="68"/>
        <v>0</v>
      </c>
      <c r="V105" s="44" t="str">
        <f t="shared" si="69"/>
        <v/>
      </c>
      <c r="W105" s="39" t="str">
        <f t="shared" si="70"/>
        <v/>
      </c>
      <c r="X105" s="38" t="str">
        <f t="shared" si="71"/>
        <v/>
      </c>
      <c r="Y105" s="39" t="str">
        <f t="shared" si="72"/>
        <v/>
      </c>
      <c r="AA105" s="2">
        <f t="shared" si="54"/>
        <v>4</v>
      </c>
      <c r="AB105" s="2" t="str">
        <f t="shared" si="55"/>
        <v/>
      </c>
      <c r="AC105" s="20" t="str">
        <f t="shared" si="56"/>
        <v/>
      </c>
      <c r="AD105" s="2">
        <f t="shared" si="57"/>
        <v>0</v>
      </c>
      <c r="AE105" s="21">
        <f t="shared" si="58"/>
        <v>1</v>
      </c>
      <c r="AF105" s="2">
        <f t="shared" si="59"/>
        <v>0</v>
      </c>
      <c r="AG105" s="21">
        <f t="shared" si="60"/>
        <v>1</v>
      </c>
    </row>
  </sheetData>
  <sheetProtection password="CE28" sheet="1" objects="1" scenarios="1" formatCells="0" formatColumns="0" formatRows="0" sort="0" autoFilter="0" pivotTables="0"/>
  <autoFilter ref="B6:Y31" xr:uid="{00000000-0009-0000-0000-000000000000}"/>
  <mergeCells count="10">
    <mergeCell ref="X5:Y5"/>
    <mergeCell ref="V5:W5"/>
    <mergeCell ref="B2:H2"/>
    <mergeCell ref="I2:L2"/>
    <mergeCell ref="B3:G3"/>
    <mergeCell ref="I3:L3"/>
    <mergeCell ref="G5:J5"/>
    <mergeCell ref="K5:U5"/>
    <mergeCell ref="B5:C5"/>
    <mergeCell ref="D5:F5"/>
  </mergeCells>
  <dataValidations count="2">
    <dataValidation type="list" allowBlank="1" showInputMessage="1" showErrorMessage="1" sqref="G7:G105" xr:uid="{00000000-0002-0000-0000-000000000000}">
      <formula1>size</formula1>
    </dataValidation>
    <dataValidation type="list" allowBlank="1" showInputMessage="1" showErrorMessage="1" sqref="H7:H105" xr:uid="{00000000-0002-0000-0000-000001000000}">
      <formula1>tt</formula1>
    </dataValidation>
  </dataValidations>
  <hyperlinks>
    <hyperlink ref="B3:G3" r:id="rId1" display="Jignesh.Parmar www.electricalnotes.wordpress.com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N278"/>
  <sheetViews>
    <sheetView showGridLines="0" zoomScale="80" zoomScaleNormal="80"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O16" sqref="O16"/>
    </sheetView>
  </sheetViews>
  <sheetFormatPr defaultRowHeight="15"/>
  <cols>
    <col min="1" max="1" width="6.72265625" style="1" customWidth="1"/>
    <col min="2" max="2" width="43.44921875" customWidth="1"/>
    <col min="7" max="7" width="11.56640625" customWidth="1"/>
    <col min="8" max="8" width="13.046875" customWidth="1"/>
    <col min="9" max="9" width="13.98828125" customWidth="1"/>
    <col min="10" max="10" width="10.22265625" customWidth="1"/>
    <col min="12" max="13" width="0" hidden="1" customWidth="1"/>
    <col min="14" max="14" width="9.14453125" hidden="1" customWidth="1"/>
    <col min="15" max="15" width="20.3125" customWidth="1"/>
  </cols>
  <sheetData>
    <row r="1" spans="2:13" ht="23.25" customHeight="1"/>
    <row r="2" spans="2:13" s="9" customFormat="1" ht="12.75">
      <c r="B2" s="67" t="s">
        <v>10</v>
      </c>
      <c r="C2" s="67" t="s">
        <v>11</v>
      </c>
      <c r="D2" s="67"/>
      <c r="E2" s="67" t="s">
        <v>12</v>
      </c>
      <c r="F2" s="67"/>
      <c r="G2" s="56" t="s">
        <v>13</v>
      </c>
      <c r="H2" s="56" t="s">
        <v>12</v>
      </c>
      <c r="I2" s="68" t="s">
        <v>14</v>
      </c>
      <c r="J2" s="68"/>
      <c r="L2" s="7" t="s">
        <v>559</v>
      </c>
      <c r="M2" s="9">
        <v>2</v>
      </c>
    </row>
    <row r="3" spans="2:13" s="8" customFormat="1" ht="12.75" customHeight="1">
      <c r="B3" s="67"/>
      <c r="C3" s="57" t="s">
        <v>15</v>
      </c>
      <c r="D3" s="57" t="s">
        <v>16</v>
      </c>
      <c r="E3" s="57" t="s">
        <v>15</v>
      </c>
      <c r="F3" s="57" t="s">
        <v>16</v>
      </c>
      <c r="G3" s="58" t="s">
        <v>17</v>
      </c>
      <c r="H3" s="58" t="s">
        <v>17</v>
      </c>
      <c r="I3" s="67" t="s">
        <v>11</v>
      </c>
      <c r="J3" s="67" t="s">
        <v>12</v>
      </c>
      <c r="L3" s="6" t="s">
        <v>560</v>
      </c>
      <c r="M3" s="17">
        <v>4</v>
      </c>
    </row>
    <row r="4" spans="2:13" s="8" customFormat="1" ht="12.75">
      <c r="B4" s="67"/>
      <c r="C4" s="58" t="s">
        <v>585</v>
      </c>
      <c r="D4" s="58" t="s">
        <v>585</v>
      </c>
      <c r="E4" s="58" t="s">
        <v>585</v>
      </c>
      <c r="F4" s="58" t="s">
        <v>585</v>
      </c>
      <c r="G4" s="58" t="s">
        <v>18</v>
      </c>
      <c r="H4" s="58" t="s">
        <v>18</v>
      </c>
      <c r="I4" s="67"/>
      <c r="J4" s="67"/>
    </row>
    <row r="5" spans="2:13" s="8" customFormat="1" ht="12.75">
      <c r="B5" s="54" t="s">
        <v>290</v>
      </c>
      <c r="C5" s="10">
        <v>8.8000000000000007</v>
      </c>
      <c r="D5" s="10">
        <v>0.158</v>
      </c>
      <c r="E5" s="10">
        <v>5.52</v>
      </c>
      <c r="F5" s="10">
        <v>1.5800000000000002E-2</v>
      </c>
      <c r="G5" s="10" t="s">
        <v>19</v>
      </c>
      <c r="H5" s="10" t="s">
        <v>21</v>
      </c>
      <c r="I5" s="10" t="s">
        <v>22</v>
      </c>
      <c r="J5" s="10" t="s">
        <v>23</v>
      </c>
    </row>
    <row r="6" spans="2:13" s="8" customFormat="1" ht="12.75">
      <c r="B6" s="54" t="s">
        <v>291</v>
      </c>
      <c r="C6" s="10">
        <v>5.53</v>
      </c>
      <c r="D6" s="10">
        <v>0.14799999999999999</v>
      </c>
      <c r="E6" s="10">
        <v>3.69</v>
      </c>
      <c r="F6" s="10">
        <v>0.14799999999999999</v>
      </c>
      <c r="G6" s="10" t="s">
        <v>21</v>
      </c>
      <c r="H6" s="10" t="s">
        <v>28</v>
      </c>
      <c r="I6" s="10" t="s">
        <v>29</v>
      </c>
      <c r="J6" s="10" t="s">
        <v>30</v>
      </c>
    </row>
    <row r="7" spans="2:13" s="8" customFormat="1" ht="12.75">
      <c r="B7" s="54" t="s">
        <v>292</v>
      </c>
      <c r="C7" s="10">
        <v>3.7</v>
      </c>
      <c r="D7" s="10">
        <v>0.13800000000000001</v>
      </c>
      <c r="E7" s="10">
        <v>2.19</v>
      </c>
      <c r="F7" s="10">
        <v>0.13800000000000001</v>
      </c>
      <c r="G7" s="10" t="s">
        <v>24</v>
      </c>
      <c r="H7" s="10" t="s">
        <v>31</v>
      </c>
      <c r="I7" s="10" t="s">
        <v>38</v>
      </c>
      <c r="J7" s="10" t="s">
        <v>39</v>
      </c>
    </row>
    <row r="8" spans="2:13" s="8" customFormat="1" ht="12.75">
      <c r="B8" s="54" t="s">
        <v>293</v>
      </c>
      <c r="C8" s="10">
        <v>2.29</v>
      </c>
      <c r="D8" s="10">
        <v>0.128</v>
      </c>
      <c r="E8" s="10">
        <v>1.38</v>
      </c>
      <c r="F8" s="10">
        <v>0.128</v>
      </c>
      <c r="G8" s="10" t="s">
        <v>37</v>
      </c>
      <c r="H8" s="10" t="s">
        <v>48</v>
      </c>
      <c r="I8" s="10" t="s">
        <v>49</v>
      </c>
      <c r="J8" s="10" t="s">
        <v>50</v>
      </c>
    </row>
    <row r="9" spans="2:13" s="8" customFormat="1" ht="12.75">
      <c r="B9" s="54" t="s">
        <v>294</v>
      </c>
      <c r="C9" s="10">
        <v>1.44</v>
      </c>
      <c r="D9" s="10">
        <v>0.12</v>
      </c>
      <c r="E9" s="10">
        <v>0.87</v>
      </c>
      <c r="F9" s="10">
        <v>0.12</v>
      </c>
      <c r="G9" s="10" t="s">
        <v>55</v>
      </c>
      <c r="H9" s="10" t="s">
        <v>56</v>
      </c>
      <c r="I9" s="10" t="s">
        <v>57</v>
      </c>
      <c r="J9" s="10" t="s">
        <v>58</v>
      </c>
    </row>
    <row r="10" spans="2:13" s="8" customFormat="1" ht="12.75">
      <c r="B10" s="54" t="s">
        <v>295</v>
      </c>
      <c r="C10" s="10">
        <v>1.04</v>
      </c>
      <c r="D10" s="10">
        <v>0.114</v>
      </c>
      <c r="E10" s="10">
        <v>0.627</v>
      </c>
      <c r="F10" s="10">
        <v>0.114</v>
      </c>
      <c r="G10" s="10" t="s">
        <v>66</v>
      </c>
      <c r="H10" s="10" t="s">
        <v>62</v>
      </c>
      <c r="I10" s="10" t="s">
        <v>68</v>
      </c>
      <c r="J10" s="10" t="s">
        <v>69</v>
      </c>
    </row>
    <row r="11" spans="2:13" s="8" customFormat="1" ht="12.75">
      <c r="B11" s="54" t="s">
        <v>296</v>
      </c>
      <c r="C11" s="10">
        <v>0.77</v>
      </c>
      <c r="D11" s="10">
        <v>0.11</v>
      </c>
      <c r="E11" s="10">
        <v>0.46300000000000002</v>
      </c>
      <c r="F11" s="10">
        <v>0.11</v>
      </c>
      <c r="G11" s="10" t="s">
        <v>62</v>
      </c>
      <c r="H11" s="10" t="s">
        <v>79</v>
      </c>
      <c r="I11" s="10">
        <v>3.8</v>
      </c>
      <c r="J11" s="10" t="s">
        <v>81</v>
      </c>
    </row>
    <row r="12" spans="2:13" s="8" customFormat="1" ht="12.75">
      <c r="B12" s="54" t="s">
        <v>297</v>
      </c>
      <c r="C12" s="10">
        <v>0.53</v>
      </c>
      <c r="D12" s="10">
        <v>0.10299999999999999</v>
      </c>
      <c r="E12" s="10">
        <v>0.32100000000000001</v>
      </c>
      <c r="F12" s="10">
        <v>0.10299999999999999</v>
      </c>
      <c r="G12" s="10" t="s">
        <v>72</v>
      </c>
      <c r="H12" s="10" t="s">
        <v>88</v>
      </c>
      <c r="I12" s="10" t="s">
        <v>89</v>
      </c>
      <c r="J12" s="10" t="s">
        <v>90</v>
      </c>
    </row>
    <row r="13" spans="2:13" s="8" customFormat="1" ht="12.75">
      <c r="B13" s="54" t="s">
        <v>298</v>
      </c>
      <c r="C13" s="10">
        <v>0.38</v>
      </c>
      <c r="D13" s="10">
        <v>0.10100000000000001</v>
      </c>
      <c r="E13" s="10">
        <v>0.23100000000000001</v>
      </c>
      <c r="F13" s="10">
        <v>0.10100000000000001</v>
      </c>
      <c r="G13" s="10" t="s">
        <v>87</v>
      </c>
      <c r="H13" s="10" t="s">
        <v>97</v>
      </c>
      <c r="I13" s="10" t="s">
        <v>98</v>
      </c>
      <c r="J13" s="10" t="s">
        <v>99</v>
      </c>
    </row>
    <row r="14" spans="2:13" s="8" customFormat="1" ht="12.75">
      <c r="B14" s="54" t="s">
        <v>299</v>
      </c>
      <c r="C14" s="10">
        <v>0.3</v>
      </c>
      <c r="D14" s="10">
        <v>9.6000000000000002E-2</v>
      </c>
      <c r="E14" s="10">
        <v>0.184</v>
      </c>
      <c r="F14" s="10">
        <v>9.6000000000000002E-2</v>
      </c>
      <c r="G14" s="10" t="s">
        <v>96</v>
      </c>
      <c r="H14" s="10" t="s">
        <v>108</v>
      </c>
      <c r="I14" s="10" t="s">
        <v>109</v>
      </c>
      <c r="J14" s="10" t="s">
        <v>110</v>
      </c>
    </row>
    <row r="15" spans="2:13" s="8" customFormat="1" ht="12.75">
      <c r="B15" s="54" t="s">
        <v>300</v>
      </c>
      <c r="C15" s="10">
        <v>0.25</v>
      </c>
      <c r="D15" s="10">
        <v>9.4E-2</v>
      </c>
      <c r="E15" s="10">
        <v>0.14899999999999999</v>
      </c>
      <c r="F15" s="10">
        <v>9.4E-2</v>
      </c>
      <c r="G15" s="10" t="s">
        <v>107</v>
      </c>
      <c r="H15" s="10" t="s">
        <v>116</v>
      </c>
      <c r="I15" s="10" t="s">
        <v>117</v>
      </c>
      <c r="J15" s="10" t="s">
        <v>118</v>
      </c>
    </row>
    <row r="16" spans="2:13" s="8" customFormat="1" ht="12.75">
      <c r="B16" s="54" t="s">
        <v>301</v>
      </c>
      <c r="C16" s="10">
        <v>0.2</v>
      </c>
      <c r="D16" s="10">
        <v>9.1999999999999998E-2</v>
      </c>
      <c r="E16" s="10">
        <v>0.12</v>
      </c>
      <c r="F16" s="10">
        <v>9.1999999999999998E-2</v>
      </c>
      <c r="G16" s="10" t="s">
        <v>125</v>
      </c>
      <c r="H16" s="10" t="s">
        <v>128</v>
      </c>
      <c r="I16" s="10" t="s">
        <v>122</v>
      </c>
      <c r="J16" s="10" t="s">
        <v>129</v>
      </c>
    </row>
    <row r="17" spans="2:10" s="8" customFormat="1" ht="12.75">
      <c r="B17" s="54" t="s">
        <v>302</v>
      </c>
      <c r="C17" s="10">
        <v>0.15</v>
      </c>
      <c r="D17" s="10">
        <v>0.09</v>
      </c>
      <c r="E17" s="10">
        <v>9.0999999999999998E-2</v>
      </c>
      <c r="F17" s="10">
        <v>0.09</v>
      </c>
      <c r="G17" s="10" t="s">
        <v>120</v>
      </c>
      <c r="H17" s="10" t="s">
        <v>136</v>
      </c>
      <c r="I17" s="10" t="s">
        <v>137</v>
      </c>
      <c r="J17" s="10" t="s">
        <v>138</v>
      </c>
    </row>
    <row r="18" spans="2:10" s="8" customFormat="1" ht="12.75">
      <c r="B18" s="54" t="s">
        <v>303</v>
      </c>
      <c r="C18" s="10">
        <v>0.12</v>
      </c>
      <c r="D18" s="10">
        <v>8.7999999999999995E-2</v>
      </c>
      <c r="E18" s="10">
        <v>7.3999999999999996E-2</v>
      </c>
      <c r="F18" s="10">
        <v>8.7999999999999995E-2</v>
      </c>
      <c r="G18" s="10" t="s">
        <v>113</v>
      </c>
      <c r="H18" s="10" t="s">
        <v>146</v>
      </c>
      <c r="I18" s="10">
        <v>22.8</v>
      </c>
      <c r="J18" s="10" t="s">
        <v>147</v>
      </c>
    </row>
    <row r="19" spans="2:10" s="8" customFormat="1" ht="12.75">
      <c r="B19" s="54" t="s">
        <v>304</v>
      </c>
      <c r="C19" s="10">
        <v>9.4E-2</v>
      </c>
      <c r="D19" s="10">
        <v>8.7999999999999995E-2</v>
      </c>
      <c r="E19" s="10">
        <v>5.8999999999999997E-2</v>
      </c>
      <c r="F19" s="10">
        <v>8.7999999999999995E-2</v>
      </c>
      <c r="G19" s="10" t="s">
        <v>141</v>
      </c>
      <c r="H19" s="10">
        <v>550</v>
      </c>
      <c r="I19" s="10" t="s">
        <v>157</v>
      </c>
      <c r="J19" s="10" t="s">
        <v>158</v>
      </c>
    </row>
    <row r="20" spans="2:10" s="8" customFormat="1" ht="12.75">
      <c r="B20" s="54" t="s">
        <v>305</v>
      </c>
      <c r="C20" s="10">
        <v>7.2599999999999998E-2</v>
      </c>
      <c r="D20" s="10">
        <v>8.6999999999999994E-2</v>
      </c>
      <c r="E20" s="10">
        <v>4.5999999999999999E-2</v>
      </c>
      <c r="F20" s="10">
        <v>8.6999999999999994E-2</v>
      </c>
      <c r="G20" s="10" t="s">
        <v>160</v>
      </c>
      <c r="H20" s="10" t="s">
        <v>142</v>
      </c>
      <c r="I20" s="10" t="s">
        <v>165</v>
      </c>
      <c r="J20" s="10" t="s">
        <v>166</v>
      </c>
    </row>
    <row r="21" spans="2:10" s="8" customFormat="1" ht="12.75">
      <c r="B21" s="54" t="s">
        <v>306</v>
      </c>
      <c r="C21" s="10">
        <v>5.6300000000000003E-2</v>
      </c>
      <c r="D21" s="10">
        <v>8.5999999999999993E-2</v>
      </c>
      <c r="E21" s="10">
        <v>3.6999999999999998E-2</v>
      </c>
      <c r="F21" s="10">
        <v>8.5999999999999993E-2</v>
      </c>
      <c r="G21" s="10" t="s">
        <v>156</v>
      </c>
      <c r="H21" s="10" t="s">
        <v>175</v>
      </c>
      <c r="I21" s="10" t="s">
        <v>176</v>
      </c>
      <c r="J21" s="10" t="s">
        <v>177</v>
      </c>
    </row>
    <row r="22" spans="2:10" s="8" customFormat="1" ht="12.75">
      <c r="B22" s="54" t="s">
        <v>307</v>
      </c>
      <c r="C22" s="10">
        <v>4.3999999999999997E-2</v>
      </c>
      <c r="D22" s="10">
        <v>8.3000000000000004E-2</v>
      </c>
      <c r="E22" s="10">
        <v>3.1E-2</v>
      </c>
      <c r="F22" s="10">
        <v>8.3000000000000004E-2</v>
      </c>
      <c r="G22" s="10" t="s">
        <v>169</v>
      </c>
      <c r="H22" s="10" t="s">
        <v>183</v>
      </c>
      <c r="I22" s="10" t="s">
        <v>184</v>
      </c>
      <c r="J22" s="10" t="s">
        <v>185</v>
      </c>
    </row>
    <row r="23" spans="2:10" s="8" customFormat="1" ht="12.75">
      <c r="B23" s="54" t="s">
        <v>308</v>
      </c>
      <c r="C23" s="10">
        <v>3.49E-2</v>
      </c>
      <c r="D23" s="10">
        <v>8.2000000000000003E-2</v>
      </c>
      <c r="E23" s="10">
        <v>2.7E-2</v>
      </c>
      <c r="F23" s="10">
        <v>8.2000000000000003E-2</v>
      </c>
      <c r="G23" s="10" t="s">
        <v>179</v>
      </c>
      <c r="H23" s="10" t="s">
        <v>191</v>
      </c>
      <c r="I23" s="10" t="s">
        <v>192</v>
      </c>
      <c r="J23" s="10" t="s">
        <v>193</v>
      </c>
    </row>
    <row r="24" spans="2:10" s="8" customFormat="1" ht="12.75">
      <c r="B24" s="54" t="s">
        <v>309</v>
      </c>
      <c r="C24" s="10">
        <v>21.72</v>
      </c>
      <c r="D24" s="10">
        <v>0.126</v>
      </c>
      <c r="E24" s="10">
        <v>14.5</v>
      </c>
      <c r="F24" s="10">
        <v>0.126</v>
      </c>
      <c r="G24" s="10">
        <v>16</v>
      </c>
      <c r="H24" s="10">
        <v>20</v>
      </c>
      <c r="I24" s="11">
        <v>0.3</v>
      </c>
      <c r="J24" s="11">
        <v>0.4</v>
      </c>
    </row>
    <row r="25" spans="2:10" s="8" customFormat="1" ht="12.75">
      <c r="B25" s="54" t="s">
        <v>310</v>
      </c>
      <c r="C25" s="10">
        <v>14.52</v>
      </c>
      <c r="D25" s="10">
        <v>0.11899999999999999</v>
      </c>
      <c r="E25" s="10">
        <v>8.8699999999999992</v>
      </c>
      <c r="F25" s="10">
        <v>0.11899999999999999</v>
      </c>
      <c r="G25" s="10">
        <v>21</v>
      </c>
      <c r="H25" s="10">
        <v>27</v>
      </c>
      <c r="I25" s="11">
        <v>0.3</v>
      </c>
      <c r="J25" s="11">
        <v>0.4</v>
      </c>
    </row>
    <row r="26" spans="2:10" s="8" customFormat="1" ht="12.75">
      <c r="B26" s="54" t="s">
        <v>311</v>
      </c>
      <c r="C26" s="10">
        <v>8.89</v>
      </c>
      <c r="D26" s="10">
        <v>0.11600000000000001</v>
      </c>
      <c r="E26" s="10">
        <v>5.52</v>
      </c>
      <c r="F26" s="10">
        <v>0.11600000000000001</v>
      </c>
      <c r="G26" s="10" t="s">
        <v>199</v>
      </c>
      <c r="H26" s="10" t="s">
        <v>21</v>
      </c>
      <c r="I26" s="10" t="s">
        <v>22</v>
      </c>
      <c r="J26" s="10" t="s">
        <v>23</v>
      </c>
    </row>
    <row r="27" spans="2:10" s="8" customFormat="1" ht="12.75">
      <c r="B27" s="54" t="s">
        <v>312</v>
      </c>
      <c r="C27" s="10">
        <v>5.53</v>
      </c>
      <c r="D27" s="10">
        <v>0.11</v>
      </c>
      <c r="E27" s="10">
        <v>3.69</v>
      </c>
      <c r="F27" s="10">
        <v>0.11</v>
      </c>
      <c r="G27" s="10" t="s">
        <v>21</v>
      </c>
      <c r="H27" s="10" t="s">
        <v>25</v>
      </c>
      <c r="I27" s="10" t="s">
        <v>29</v>
      </c>
      <c r="J27" s="10" t="s">
        <v>30</v>
      </c>
    </row>
    <row r="28" spans="2:10" s="8" customFormat="1" ht="12.75">
      <c r="B28" s="54" t="s">
        <v>313</v>
      </c>
      <c r="C28" s="10">
        <v>3.7</v>
      </c>
      <c r="D28" s="10">
        <v>0.1</v>
      </c>
      <c r="E28" s="10">
        <v>2.19</v>
      </c>
      <c r="F28" s="10">
        <v>0.1</v>
      </c>
      <c r="G28" s="10" t="s">
        <v>24</v>
      </c>
      <c r="H28" s="10" t="s">
        <v>31</v>
      </c>
      <c r="I28" s="10" t="s">
        <v>38</v>
      </c>
      <c r="J28" s="10" t="s">
        <v>39</v>
      </c>
    </row>
    <row r="29" spans="2:10" s="8" customFormat="1" ht="12.75">
      <c r="B29" s="54" t="s">
        <v>314</v>
      </c>
      <c r="C29" s="10">
        <v>2.29</v>
      </c>
      <c r="D29" s="10">
        <v>9.7000000000000003E-2</v>
      </c>
      <c r="E29" s="10">
        <v>1.38</v>
      </c>
      <c r="F29" s="10">
        <v>9.7000000000000003E-2</v>
      </c>
      <c r="G29" s="10" t="s">
        <v>32</v>
      </c>
      <c r="H29" s="10" t="s">
        <v>41</v>
      </c>
      <c r="I29" s="10" t="s">
        <v>49</v>
      </c>
      <c r="J29" s="10" t="s">
        <v>206</v>
      </c>
    </row>
    <row r="30" spans="2:10" s="8" customFormat="1" ht="12.75">
      <c r="B30" s="54" t="s">
        <v>315</v>
      </c>
      <c r="C30" s="10">
        <v>1.44</v>
      </c>
      <c r="D30" s="10">
        <v>9.7000000000000003E-2</v>
      </c>
      <c r="E30" s="10">
        <v>0.87</v>
      </c>
      <c r="F30" s="10">
        <v>9.7000000000000003E-2</v>
      </c>
      <c r="G30" s="10" t="s">
        <v>41</v>
      </c>
      <c r="H30" s="10" t="s">
        <v>66</v>
      </c>
      <c r="I30" s="10" t="s">
        <v>57</v>
      </c>
      <c r="J30" s="10" t="s">
        <v>209</v>
      </c>
    </row>
    <row r="31" spans="2:10" s="8" customFormat="1" ht="12.75">
      <c r="B31" s="54" t="s">
        <v>316</v>
      </c>
      <c r="C31" s="10">
        <v>1.04</v>
      </c>
      <c r="D31" s="10">
        <v>9.7000000000000003E-2</v>
      </c>
      <c r="E31" s="10">
        <v>0.627</v>
      </c>
      <c r="F31" s="10">
        <v>9.7000000000000003E-2</v>
      </c>
      <c r="G31" s="10" t="s">
        <v>59</v>
      </c>
      <c r="H31" s="10" t="s">
        <v>67</v>
      </c>
      <c r="I31" s="10" t="s">
        <v>68</v>
      </c>
      <c r="J31" s="10" t="s">
        <v>212</v>
      </c>
    </row>
    <row r="32" spans="2:10" s="8" customFormat="1" ht="12.75">
      <c r="B32" s="54" t="s">
        <v>317</v>
      </c>
      <c r="C32" s="10">
        <v>0.77</v>
      </c>
      <c r="D32" s="10">
        <v>9.4E-2</v>
      </c>
      <c r="E32" s="10">
        <v>0.46300000000000002</v>
      </c>
      <c r="F32" s="10">
        <v>9.4E-2</v>
      </c>
      <c r="G32" s="10" t="s">
        <v>67</v>
      </c>
      <c r="H32" s="10" t="s">
        <v>72</v>
      </c>
      <c r="I32" s="10" t="s">
        <v>80</v>
      </c>
      <c r="J32" s="10" t="s">
        <v>215</v>
      </c>
    </row>
    <row r="33" spans="2:10" s="8" customFormat="1" ht="12.75">
      <c r="B33" s="54" t="s">
        <v>318</v>
      </c>
      <c r="C33" s="10">
        <v>0.53</v>
      </c>
      <c r="D33" s="10">
        <v>0.09</v>
      </c>
      <c r="E33" s="10">
        <v>0.32100000000000001</v>
      </c>
      <c r="F33" s="10">
        <v>0.09</v>
      </c>
      <c r="G33" s="10" t="s">
        <v>78</v>
      </c>
      <c r="H33" s="10" t="s">
        <v>106</v>
      </c>
      <c r="I33" s="10" t="s">
        <v>89</v>
      </c>
      <c r="J33" s="10" t="s">
        <v>219</v>
      </c>
    </row>
    <row r="34" spans="2:10" s="8" customFormat="1" ht="12.75">
      <c r="B34" s="54" t="s">
        <v>319</v>
      </c>
      <c r="C34" s="10">
        <v>0.38</v>
      </c>
      <c r="D34" s="10">
        <v>0.09</v>
      </c>
      <c r="E34" s="10">
        <v>0.23100000000000001</v>
      </c>
      <c r="F34" s="10">
        <v>0.9</v>
      </c>
      <c r="G34" s="10" t="s">
        <v>83</v>
      </c>
      <c r="H34" s="10" t="s">
        <v>111</v>
      </c>
      <c r="I34" s="10" t="s">
        <v>98</v>
      </c>
      <c r="J34" s="10" t="s">
        <v>99</v>
      </c>
    </row>
    <row r="35" spans="2:10" s="8" customFormat="1" ht="12.75">
      <c r="B35" s="54" t="s">
        <v>320</v>
      </c>
      <c r="C35" s="10">
        <v>0.3</v>
      </c>
      <c r="D35" s="10">
        <v>8.6999999999999994E-2</v>
      </c>
      <c r="E35" s="10">
        <v>0.184</v>
      </c>
      <c r="F35" s="10">
        <v>8.6999999999999994E-2</v>
      </c>
      <c r="G35" s="10" t="s">
        <v>91</v>
      </c>
      <c r="H35" s="10" t="s">
        <v>101</v>
      </c>
      <c r="I35" s="10" t="s">
        <v>109</v>
      </c>
      <c r="J35" s="10" t="s">
        <v>110</v>
      </c>
    </row>
    <row r="36" spans="2:10" s="8" customFormat="1" ht="12.75">
      <c r="B36" s="54" t="s">
        <v>321</v>
      </c>
      <c r="C36" s="10">
        <v>0.25</v>
      </c>
      <c r="D36" s="10">
        <v>8.6999999999999994E-2</v>
      </c>
      <c r="E36" s="10">
        <v>0.14899999999999999</v>
      </c>
      <c r="F36" s="10">
        <v>8.6999999999999994E-2</v>
      </c>
      <c r="G36" s="10" t="s">
        <v>124</v>
      </c>
      <c r="H36" s="10" t="s">
        <v>126</v>
      </c>
      <c r="I36" s="10" t="s">
        <v>117</v>
      </c>
      <c r="J36" s="10" t="s">
        <v>225</v>
      </c>
    </row>
    <row r="37" spans="2:10" s="8" customFormat="1" ht="12.75">
      <c r="B37" s="54" t="s">
        <v>322</v>
      </c>
      <c r="C37" s="10">
        <v>0.2</v>
      </c>
      <c r="D37" s="10">
        <v>8.6999999999999994E-2</v>
      </c>
      <c r="E37" s="10">
        <v>0.12</v>
      </c>
      <c r="F37" s="10">
        <v>8.6999999999999994E-2</v>
      </c>
      <c r="G37" s="10" t="s">
        <v>154</v>
      </c>
      <c r="H37" s="10" t="s">
        <v>228</v>
      </c>
      <c r="I37" s="10" t="s">
        <v>122</v>
      </c>
      <c r="J37" s="10" t="s">
        <v>229</v>
      </c>
    </row>
    <row r="38" spans="2:10" s="8" customFormat="1" ht="12.75">
      <c r="B38" s="54" t="s">
        <v>323</v>
      </c>
      <c r="C38" s="10">
        <v>0.15</v>
      </c>
      <c r="D38" s="10">
        <v>8.6999999999999994E-2</v>
      </c>
      <c r="E38" s="10">
        <v>9.0999999999999998E-2</v>
      </c>
      <c r="F38" s="10">
        <v>8.6999999999999994E-2</v>
      </c>
      <c r="G38" s="10" t="s">
        <v>153</v>
      </c>
      <c r="H38" s="10" t="s">
        <v>231</v>
      </c>
      <c r="I38" s="10" t="s">
        <v>137</v>
      </c>
      <c r="J38" s="10" t="s">
        <v>232</v>
      </c>
    </row>
    <row r="39" spans="2:10" s="8" customFormat="1" ht="12.75">
      <c r="B39" s="54" t="s">
        <v>324</v>
      </c>
      <c r="C39" s="10">
        <v>0.12</v>
      </c>
      <c r="D39" s="10">
        <v>8.5999999999999993E-2</v>
      </c>
      <c r="E39" s="10">
        <v>7.2999999999999995E-2</v>
      </c>
      <c r="F39" s="10">
        <v>8.5999999999999993E-2</v>
      </c>
      <c r="G39" s="10" t="s">
        <v>235</v>
      </c>
      <c r="H39" s="10" t="s">
        <v>236</v>
      </c>
      <c r="I39" s="10" t="s">
        <v>237</v>
      </c>
      <c r="J39" s="10" t="s">
        <v>238</v>
      </c>
    </row>
    <row r="40" spans="2:10" s="8" customFormat="1" ht="12.75">
      <c r="B40" s="54" t="s">
        <v>325</v>
      </c>
      <c r="C40" s="10">
        <v>0.09</v>
      </c>
      <c r="D40" s="10">
        <v>8.5999999999999993E-2</v>
      </c>
      <c r="E40" s="10">
        <v>5.8999999999999997E-2</v>
      </c>
      <c r="F40" s="10">
        <v>8.5999999999999993E-2</v>
      </c>
      <c r="G40" s="10" t="s">
        <v>240</v>
      </c>
      <c r="H40" s="10" t="s">
        <v>170</v>
      </c>
      <c r="I40" s="10" t="s">
        <v>157</v>
      </c>
      <c r="J40" s="10" t="s">
        <v>241</v>
      </c>
    </row>
    <row r="41" spans="2:10" s="8" customFormat="1" ht="12.75">
      <c r="B41" s="54" t="s">
        <v>326</v>
      </c>
      <c r="C41" s="10">
        <v>0.09</v>
      </c>
      <c r="D41" s="10">
        <v>8.5999999999999993E-2</v>
      </c>
      <c r="E41" s="10">
        <v>5.8999999999999997E-2</v>
      </c>
      <c r="F41" s="10">
        <v>8.5999999999999993E-2</v>
      </c>
      <c r="G41" s="10" t="s">
        <v>146</v>
      </c>
      <c r="H41" s="10" t="s">
        <v>159</v>
      </c>
      <c r="I41" s="10" t="s">
        <v>165</v>
      </c>
      <c r="J41" s="10" t="s">
        <v>246</v>
      </c>
    </row>
    <row r="42" spans="2:10" s="8" customFormat="1" ht="12.75">
      <c r="B42" s="54" t="s">
        <v>327</v>
      </c>
      <c r="C42" s="10">
        <v>0.09</v>
      </c>
      <c r="D42" s="10">
        <v>8.5999999999999993E-2</v>
      </c>
      <c r="E42" s="10">
        <v>5.8999999999999997E-2</v>
      </c>
      <c r="F42" s="10">
        <v>8.5999999999999993E-2</v>
      </c>
      <c r="G42" s="10" t="s">
        <v>245</v>
      </c>
      <c r="H42" s="10" t="s">
        <v>250</v>
      </c>
      <c r="I42" s="10" t="s">
        <v>176</v>
      </c>
      <c r="J42" s="10" t="s">
        <v>251</v>
      </c>
    </row>
    <row r="43" spans="2:10" s="8" customFormat="1" ht="12.75">
      <c r="B43" s="54" t="s">
        <v>328</v>
      </c>
      <c r="C43" s="10">
        <v>21.72</v>
      </c>
      <c r="D43" s="10">
        <v>0.126</v>
      </c>
      <c r="E43" s="10">
        <v>14.5</v>
      </c>
      <c r="F43" s="10">
        <v>0.126</v>
      </c>
      <c r="G43" s="10">
        <v>13</v>
      </c>
      <c r="H43" s="10">
        <v>17</v>
      </c>
      <c r="I43" s="11">
        <v>0.3</v>
      </c>
      <c r="J43" s="11">
        <v>0.4</v>
      </c>
    </row>
    <row r="44" spans="2:10" s="8" customFormat="1" ht="12.75">
      <c r="B44" s="54" t="s">
        <v>329</v>
      </c>
      <c r="C44" s="10">
        <v>14.52</v>
      </c>
      <c r="D44" s="10">
        <v>0.11899999999999999</v>
      </c>
      <c r="E44" s="10">
        <v>8.8699999999999992</v>
      </c>
      <c r="F44" s="10">
        <v>0.11899999999999999</v>
      </c>
      <c r="G44" s="10">
        <v>18</v>
      </c>
      <c r="H44" s="10">
        <v>24</v>
      </c>
      <c r="I44" s="11">
        <v>0.3</v>
      </c>
      <c r="J44" s="11">
        <v>0.4</v>
      </c>
    </row>
    <row r="45" spans="2:10" s="8" customFormat="1" ht="12.75">
      <c r="B45" s="54" t="s">
        <v>330</v>
      </c>
      <c r="C45" s="10">
        <v>8.89</v>
      </c>
      <c r="D45" s="10">
        <v>0.11600000000000001</v>
      </c>
      <c r="E45" s="10">
        <v>5.52</v>
      </c>
      <c r="F45" s="10">
        <v>0.11600000000000001</v>
      </c>
      <c r="G45" s="10" t="s">
        <v>254</v>
      </c>
      <c r="H45" s="10" t="s">
        <v>200</v>
      </c>
      <c r="I45" s="10" t="s">
        <v>22</v>
      </c>
      <c r="J45" s="10" t="s">
        <v>23</v>
      </c>
    </row>
    <row r="46" spans="2:10" s="8" customFormat="1" ht="12.75">
      <c r="B46" s="54" t="s">
        <v>331</v>
      </c>
      <c r="C46" s="10">
        <v>5.53</v>
      </c>
      <c r="D46" s="10">
        <v>0.11</v>
      </c>
      <c r="E46" s="10">
        <v>3.69</v>
      </c>
      <c r="F46" s="10">
        <v>0.11</v>
      </c>
      <c r="G46" s="10" t="s">
        <v>200</v>
      </c>
      <c r="H46" s="10" t="s">
        <v>20</v>
      </c>
      <c r="I46" s="10" t="s">
        <v>29</v>
      </c>
      <c r="J46" s="10" t="s">
        <v>30</v>
      </c>
    </row>
    <row r="47" spans="2:10" s="8" customFormat="1" ht="12.75">
      <c r="B47" s="54" t="s">
        <v>332</v>
      </c>
      <c r="C47" s="10">
        <v>3.7</v>
      </c>
      <c r="D47" s="10">
        <v>0.1</v>
      </c>
      <c r="E47" s="10">
        <v>2.19</v>
      </c>
      <c r="F47" s="10">
        <v>0.1</v>
      </c>
      <c r="G47" s="10" t="s">
        <v>201</v>
      </c>
      <c r="H47" s="10" t="s">
        <v>255</v>
      </c>
      <c r="I47" s="10" t="s">
        <v>38</v>
      </c>
      <c r="J47" s="10" t="s">
        <v>39</v>
      </c>
    </row>
    <row r="48" spans="2:10" s="8" customFormat="1" ht="12.75">
      <c r="B48" s="54" t="s">
        <v>333</v>
      </c>
      <c r="C48" s="10">
        <v>2.29</v>
      </c>
      <c r="D48" s="10">
        <v>9.7000000000000003E-2</v>
      </c>
      <c r="E48" s="10">
        <v>1.38</v>
      </c>
      <c r="F48" s="10">
        <v>9.7000000000000003E-2</v>
      </c>
      <c r="G48" s="10" t="s">
        <v>36</v>
      </c>
      <c r="H48" s="10" t="s">
        <v>45</v>
      </c>
      <c r="I48" s="10" t="s">
        <v>49</v>
      </c>
      <c r="J48" s="10" t="s">
        <v>206</v>
      </c>
    </row>
    <row r="49" spans="2:10" s="8" customFormat="1" ht="12.75">
      <c r="B49" s="54" t="s">
        <v>334</v>
      </c>
      <c r="C49" s="10">
        <v>1.44</v>
      </c>
      <c r="D49" s="10">
        <v>9.7000000000000003E-2</v>
      </c>
      <c r="E49" s="10">
        <v>0.87</v>
      </c>
      <c r="F49" s="10">
        <v>9.7000000000000003E-2</v>
      </c>
      <c r="G49" s="10" t="s">
        <v>203</v>
      </c>
      <c r="H49" s="10" t="s">
        <v>60</v>
      </c>
      <c r="I49" s="10" t="s">
        <v>57</v>
      </c>
      <c r="J49" s="10" t="s">
        <v>209</v>
      </c>
    </row>
    <row r="50" spans="2:10" s="8" customFormat="1" ht="12.75">
      <c r="B50" s="54" t="s">
        <v>335</v>
      </c>
      <c r="C50" s="10">
        <v>1.04</v>
      </c>
      <c r="D50" s="10">
        <v>9.7000000000000003E-2</v>
      </c>
      <c r="E50" s="10">
        <v>0.627</v>
      </c>
      <c r="F50" s="10">
        <v>9.7000000000000003E-2</v>
      </c>
      <c r="G50" s="10" t="s">
        <v>54</v>
      </c>
      <c r="H50" s="10" t="s">
        <v>56</v>
      </c>
      <c r="I50" s="10" t="s">
        <v>68</v>
      </c>
      <c r="J50" s="10" t="s">
        <v>212</v>
      </c>
    </row>
    <row r="51" spans="2:10" s="8" customFormat="1" ht="12.75">
      <c r="B51" s="54" t="s">
        <v>336</v>
      </c>
      <c r="C51" s="10">
        <v>0.77</v>
      </c>
      <c r="D51" s="10">
        <v>9.4E-2</v>
      </c>
      <c r="E51" s="10">
        <v>0.46300000000000002</v>
      </c>
      <c r="F51" s="10">
        <v>9.4E-2</v>
      </c>
      <c r="G51" s="10" t="s">
        <v>66</v>
      </c>
      <c r="H51" s="10" t="s">
        <v>71</v>
      </c>
      <c r="I51" s="10" t="s">
        <v>80</v>
      </c>
      <c r="J51" s="10" t="s">
        <v>215</v>
      </c>
    </row>
    <row r="52" spans="2:10" s="8" customFormat="1" ht="12.75">
      <c r="B52" s="54" t="s">
        <v>337</v>
      </c>
      <c r="C52" s="10">
        <v>0.53</v>
      </c>
      <c r="D52" s="10">
        <v>0.09</v>
      </c>
      <c r="E52" s="10">
        <v>0.32100000000000001</v>
      </c>
      <c r="F52" s="10">
        <v>0.09</v>
      </c>
      <c r="G52" s="10" t="s">
        <v>62</v>
      </c>
      <c r="H52" s="10" t="s">
        <v>79</v>
      </c>
      <c r="I52" s="10" t="s">
        <v>89</v>
      </c>
      <c r="J52" s="10" t="s">
        <v>219</v>
      </c>
    </row>
    <row r="53" spans="2:10" s="8" customFormat="1" ht="12.75">
      <c r="B53" s="54" t="s">
        <v>338</v>
      </c>
      <c r="C53" s="10">
        <v>0.38</v>
      </c>
      <c r="D53" s="10">
        <v>0.9</v>
      </c>
      <c r="E53" s="10">
        <v>0.23100000000000001</v>
      </c>
      <c r="F53" s="10">
        <v>0.09</v>
      </c>
      <c r="G53" s="10" t="s">
        <v>72</v>
      </c>
      <c r="H53" s="10" t="s">
        <v>92</v>
      </c>
      <c r="I53" s="10" t="s">
        <v>98</v>
      </c>
      <c r="J53" s="10" t="s">
        <v>256</v>
      </c>
    </row>
    <row r="54" spans="2:10" s="8" customFormat="1" ht="12.75">
      <c r="B54" s="54" t="s">
        <v>339</v>
      </c>
      <c r="C54" s="10">
        <v>0.3</v>
      </c>
      <c r="D54" s="10">
        <v>8.6999999999999994E-2</v>
      </c>
      <c r="E54" s="10">
        <v>0.184</v>
      </c>
      <c r="F54" s="10">
        <v>8.6999999999999994E-2</v>
      </c>
      <c r="G54" s="10" t="s">
        <v>218</v>
      </c>
      <c r="H54" s="10" t="s">
        <v>111</v>
      </c>
      <c r="I54" s="10" t="s">
        <v>109</v>
      </c>
      <c r="J54" s="10" t="s">
        <v>257</v>
      </c>
    </row>
    <row r="55" spans="2:10" s="8" customFormat="1" ht="12.75">
      <c r="B55" s="54" t="s">
        <v>340</v>
      </c>
      <c r="C55" s="10">
        <v>0.25</v>
      </c>
      <c r="D55" s="10">
        <v>8.6999999999999994E-2</v>
      </c>
      <c r="E55" s="10">
        <v>0.14899999999999999</v>
      </c>
      <c r="F55" s="10">
        <v>8.6999999999999994E-2</v>
      </c>
      <c r="G55" s="10" t="s">
        <v>88</v>
      </c>
      <c r="H55" s="10" t="s">
        <v>101</v>
      </c>
      <c r="I55" s="10" t="s">
        <v>117</v>
      </c>
      <c r="J55" s="10" t="s">
        <v>225</v>
      </c>
    </row>
    <row r="56" spans="2:10" s="8" customFormat="1" ht="12.75">
      <c r="B56" s="54" t="s">
        <v>341</v>
      </c>
      <c r="C56" s="10">
        <v>0.2</v>
      </c>
      <c r="D56" s="10">
        <v>8.6999999999999994E-2</v>
      </c>
      <c r="E56" s="10">
        <v>0.12</v>
      </c>
      <c r="F56" s="10">
        <v>8.6999999999999994E-2</v>
      </c>
      <c r="G56" s="10" t="s">
        <v>124</v>
      </c>
      <c r="H56" s="10" t="s">
        <v>126</v>
      </c>
      <c r="I56" s="10" t="s">
        <v>122</v>
      </c>
      <c r="J56" s="10" t="s">
        <v>258</v>
      </c>
    </row>
    <row r="57" spans="2:10" s="8" customFormat="1" ht="12.75">
      <c r="B57" s="54" t="s">
        <v>342</v>
      </c>
      <c r="C57" s="10">
        <v>0.15</v>
      </c>
      <c r="D57" s="10">
        <v>8.6999999999999994E-2</v>
      </c>
      <c r="E57" s="10">
        <v>9.1200000000000003E-2</v>
      </c>
      <c r="F57" s="10">
        <v>8.6999999999999994E-2</v>
      </c>
      <c r="G57" s="10" t="s">
        <v>108</v>
      </c>
      <c r="H57" s="10" t="s">
        <v>164</v>
      </c>
      <c r="I57" s="10" t="s">
        <v>137</v>
      </c>
      <c r="J57" s="10" t="s">
        <v>232</v>
      </c>
    </row>
    <row r="58" spans="2:10" s="8" customFormat="1" ht="12.75">
      <c r="B58" s="54" t="s">
        <v>343</v>
      </c>
      <c r="C58" s="10">
        <v>0.12</v>
      </c>
      <c r="D58" s="10">
        <v>8.5999999999999993E-2</v>
      </c>
      <c r="E58" s="10">
        <v>7.3899999999999993E-2</v>
      </c>
      <c r="F58" s="10">
        <v>8.5999999999999993E-2</v>
      </c>
      <c r="G58" s="10" t="s">
        <v>227</v>
      </c>
      <c r="H58" s="10" t="s">
        <v>155</v>
      </c>
      <c r="I58" s="10" t="s">
        <v>237</v>
      </c>
      <c r="J58" s="10" t="s">
        <v>238</v>
      </c>
    </row>
    <row r="59" spans="2:10" s="8" customFormat="1" ht="12.75">
      <c r="B59" s="54" t="s">
        <v>344</v>
      </c>
      <c r="C59" s="12">
        <v>0.09</v>
      </c>
      <c r="D59" s="12">
        <v>8.5999999999999993E-2</v>
      </c>
      <c r="E59" s="12">
        <v>5.9200000000000003E-2</v>
      </c>
      <c r="F59" s="12">
        <v>8.5999999999999993E-2</v>
      </c>
      <c r="G59" s="12" t="s">
        <v>145</v>
      </c>
      <c r="H59" s="12" t="s">
        <v>141</v>
      </c>
      <c r="I59" s="12" t="s">
        <v>157</v>
      </c>
      <c r="J59" s="12" t="s">
        <v>241</v>
      </c>
    </row>
    <row r="60" spans="2:10" s="8" customFormat="1" ht="12.75">
      <c r="B60" s="54" t="s">
        <v>345</v>
      </c>
      <c r="C60" s="12">
        <v>0.09</v>
      </c>
      <c r="D60" s="12">
        <v>8.5999999999999993E-2</v>
      </c>
      <c r="E60" s="12">
        <v>5.9200000000000003E-2</v>
      </c>
      <c r="F60" s="12">
        <v>8.5999999999999993E-2</v>
      </c>
      <c r="G60" s="12" t="s">
        <v>136</v>
      </c>
      <c r="H60" s="12" t="s">
        <v>243</v>
      </c>
      <c r="I60" s="12" t="s">
        <v>165</v>
      </c>
      <c r="J60" s="12" t="s">
        <v>246</v>
      </c>
    </row>
    <row r="61" spans="2:10" s="8" customFormat="1" ht="12.75">
      <c r="B61" s="54" t="s">
        <v>346</v>
      </c>
      <c r="C61" s="12">
        <v>0.09</v>
      </c>
      <c r="D61" s="12">
        <v>8.5999999999999993E-2</v>
      </c>
      <c r="E61" s="12">
        <v>5.9200000000000003E-2</v>
      </c>
      <c r="F61" s="12">
        <v>8.5999999999999993E-2</v>
      </c>
      <c r="G61" s="12" t="s">
        <v>160</v>
      </c>
      <c r="H61" s="12" t="s">
        <v>259</v>
      </c>
      <c r="I61" s="12" t="s">
        <v>176</v>
      </c>
      <c r="J61" s="12" t="s">
        <v>260</v>
      </c>
    </row>
    <row r="62" spans="2:10" s="8" customFormat="1" ht="12.75">
      <c r="B62" s="54" t="s">
        <v>347</v>
      </c>
      <c r="C62" s="12">
        <v>1.44</v>
      </c>
      <c r="D62" s="12">
        <v>9.7000000000000003E-2</v>
      </c>
      <c r="E62" s="12">
        <v>0.73</v>
      </c>
      <c r="F62" s="12">
        <v>9.7000000000000003E-2</v>
      </c>
      <c r="G62" s="12">
        <v>62</v>
      </c>
      <c r="H62" s="12">
        <v>90</v>
      </c>
      <c r="I62" s="13">
        <v>1.8</v>
      </c>
      <c r="J62" s="13">
        <v>2.5</v>
      </c>
    </row>
    <row r="63" spans="2:10" s="8" customFormat="1" ht="12.75">
      <c r="B63" s="54" t="s">
        <v>348</v>
      </c>
      <c r="C63" s="12">
        <v>0.77</v>
      </c>
      <c r="D63" s="12">
        <v>9.4E-2</v>
      </c>
      <c r="E63" s="12">
        <v>0.38700000000000001</v>
      </c>
      <c r="F63" s="12" t="s">
        <v>261</v>
      </c>
      <c r="G63" s="12" t="s">
        <v>203</v>
      </c>
      <c r="H63" s="12" t="s">
        <v>60</v>
      </c>
      <c r="I63" s="12" t="s">
        <v>262</v>
      </c>
      <c r="J63" s="12" t="s">
        <v>58</v>
      </c>
    </row>
    <row r="64" spans="2:10" s="8" customFormat="1" ht="12.75">
      <c r="B64" s="54" t="s">
        <v>349</v>
      </c>
      <c r="C64" s="12">
        <v>0.53</v>
      </c>
      <c r="D64" s="12">
        <v>0.09</v>
      </c>
      <c r="E64" s="12">
        <v>0.26800000000000002</v>
      </c>
      <c r="F64" s="12">
        <v>0.09</v>
      </c>
      <c r="G64" s="12" t="s">
        <v>54</v>
      </c>
      <c r="H64" s="12" t="s">
        <v>56</v>
      </c>
      <c r="I64" s="12" t="s">
        <v>263</v>
      </c>
      <c r="J64" s="12" t="s">
        <v>69</v>
      </c>
    </row>
    <row r="65" spans="2:10" s="8" customFormat="1" ht="12.75">
      <c r="B65" s="54" t="s">
        <v>350</v>
      </c>
      <c r="C65" s="12">
        <v>0.38</v>
      </c>
      <c r="D65" s="12">
        <v>0.09</v>
      </c>
      <c r="E65" s="12">
        <v>0.193</v>
      </c>
      <c r="F65" s="12">
        <v>0.09</v>
      </c>
      <c r="G65" s="12" t="s">
        <v>66</v>
      </c>
      <c r="H65" s="12" t="s">
        <v>71</v>
      </c>
      <c r="I65" s="12" t="s">
        <v>264</v>
      </c>
      <c r="J65" s="12" t="s">
        <v>81</v>
      </c>
    </row>
    <row r="66" spans="2:10" s="8" customFormat="1" ht="12.75">
      <c r="B66" s="54" t="s">
        <v>351</v>
      </c>
      <c r="C66" s="12">
        <v>0.3</v>
      </c>
      <c r="D66" s="12">
        <v>8.6999999999999994E-2</v>
      </c>
      <c r="E66" s="12">
        <v>0.153</v>
      </c>
      <c r="F66" s="12">
        <v>8.6999999999999994E-2</v>
      </c>
      <c r="G66" s="12" t="s">
        <v>62</v>
      </c>
      <c r="H66" s="12" t="s">
        <v>79</v>
      </c>
      <c r="I66" s="12" t="s">
        <v>265</v>
      </c>
      <c r="J66" s="12" t="s">
        <v>90</v>
      </c>
    </row>
    <row r="67" spans="2:10" s="8" customFormat="1" ht="12.75">
      <c r="B67" s="54" t="s">
        <v>352</v>
      </c>
      <c r="C67" s="12">
        <v>0.2</v>
      </c>
      <c r="D67" s="12">
        <v>8.6999999999999994E-2</v>
      </c>
      <c r="E67" s="12">
        <v>9.9000000000000005E-2</v>
      </c>
      <c r="F67" s="12">
        <v>8.6999999999999994E-2</v>
      </c>
      <c r="G67" s="12" t="s">
        <v>72</v>
      </c>
      <c r="H67" s="12" t="s">
        <v>92</v>
      </c>
      <c r="I67" s="12" t="s">
        <v>266</v>
      </c>
      <c r="J67" s="12" t="s">
        <v>99</v>
      </c>
    </row>
    <row r="68" spans="2:10" s="8" customFormat="1" ht="12.75">
      <c r="B68" s="54" t="s">
        <v>353</v>
      </c>
      <c r="C68" s="12">
        <v>0.15</v>
      </c>
      <c r="D68" s="12">
        <v>8.6999999999999994E-2</v>
      </c>
      <c r="E68" s="12">
        <v>7.4999999999999997E-2</v>
      </c>
      <c r="F68" s="12">
        <v>8.6999999999999994E-2</v>
      </c>
      <c r="G68" s="12" t="s">
        <v>218</v>
      </c>
      <c r="H68" s="12" t="s">
        <v>111</v>
      </c>
      <c r="I68" s="12" t="s">
        <v>267</v>
      </c>
      <c r="J68" s="12" t="s">
        <v>110</v>
      </c>
    </row>
    <row r="69" spans="2:10" s="8" customFormat="1" ht="12.75">
      <c r="B69" s="54" t="s">
        <v>354</v>
      </c>
      <c r="C69" s="12">
        <v>0.12</v>
      </c>
      <c r="D69" s="12">
        <v>8.5999999999999993E-2</v>
      </c>
      <c r="E69" s="12">
        <v>0.06</v>
      </c>
      <c r="F69" s="12">
        <v>8.5999999999999993E-2</v>
      </c>
      <c r="G69" s="12" t="s">
        <v>88</v>
      </c>
      <c r="H69" s="12" t="s">
        <v>101</v>
      </c>
      <c r="I69" s="12" t="s">
        <v>117</v>
      </c>
      <c r="J69" s="12" t="s">
        <v>118</v>
      </c>
    </row>
    <row r="70" spans="2:10" s="8" customFormat="1" ht="12.75">
      <c r="B70" s="54" t="s">
        <v>355</v>
      </c>
      <c r="C70" s="12">
        <v>0.09</v>
      </c>
      <c r="D70" s="12">
        <v>8.5999999999999993E-2</v>
      </c>
      <c r="E70" s="12">
        <v>4.7E-2</v>
      </c>
      <c r="F70" s="12">
        <v>8.5999999999999993E-2</v>
      </c>
      <c r="G70" s="12" t="s">
        <v>124</v>
      </c>
      <c r="H70" s="12" t="s">
        <v>126</v>
      </c>
      <c r="I70" s="12" t="s">
        <v>122</v>
      </c>
      <c r="J70" s="12" t="s">
        <v>129</v>
      </c>
    </row>
    <row r="71" spans="2:10" s="8" customFormat="1" ht="12.75">
      <c r="B71" s="54" t="s">
        <v>356</v>
      </c>
      <c r="C71" s="12">
        <v>0.08</v>
      </c>
      <c r="D71" s="12">
        <v>8.5000000000000006E-2</v>
      </c>
      <c r="E71" s="12">
        <v>4.5999999999999999E-2</v>
      </c>
      <c r="F71" s="12">
        <v>8.5000000000000006E-2</v>
      </c>
      <c r="G71" s="12" t="s">
        <v>108</v>
      </c>
      <c r="H71" s="12" t="s">
        <v>164</v>
      </c>
      <c r="I71" s="12" t="s">
        <v>137</v>
      </c>
      <c r="J71" s="12" t="s">
        <v>268</v>
      </c>
    </row>
    <row r="72" spans="2:10" s="8" customFormat="1" ht="12.75">
      <c r="B72" s="54" t="s">
        <v>357</v>
      </c>
      <c r="C72" s="12">
        <v>0.08</v>
      </c>
      <c r="D72" s="12">
        <v>8.5000000000000006E-2</v>
      </c>
      <c r="E72" s="12">
        <v>4.5999999999999999E-2</v>
      </c>
      <c r="F72" s="12">
        <v>8.5000000000000006E-2</v>
      </c>
      <c r="G72" s="12" t="s">
        <v>227</v>
      </c>
      <c r="H72" s="12" t="s">
        <v>155</v>
      </c>
      <c r="I72" s="12" t="s">
        <v>237</v>
      </c>
      <c r="J72" s="12" t="s">
        <v>147</v>
      </c>
    </row>
    <row r="73" spans="2:10" s="8" customFormat="1" ht="12.75">
      <c r="B73" s="54" t="s">
        <v>358</v>
      </c>
      <c r="C73" s="12">
        <v>0.08</v>
      </c>
      <c r="D73" s="12">
        <v>8.4000000000000005E-2</v>
      </c>
      <c r="E73" s="12">
        <v>4.4999999999999998E-2</v>
      </c>
      <c r="F73" s="12">
        <v>8.4000000000000005E-2</v>
      </c>
      <c r="G73" s="12" t="s">
        <v>145</v>
      </c>
      <c r="H73" s="12" t="s">
        <v>141</v>
      </c>
      <c r="I73" s="12" t="s">
        <v>157</v>
      </c>
      <c r="J73" s="12" t="s">
        <v>158</v>
      </c>
    </row>
    <row r="74" spans="2:10" s="8" customFormat="1" ht="12.75">
      <c r="B74" s="54" t="s">
        <v>359</v>
      </c>
      <c r="C74" s="12">
        <v>0.08</v>
      </c>
      <c r="D74" s="12">
        <v>8.4000000000000005E-2</v>
      </c>
      <c r="E74" s="12">
        <v>4.4999999999999998E-2</v>
      </c>
      <c r="F74" s="12">
        <v>8.4000000000000005E-2</v>
      </c>
      <c r="G74" s="12" t="s">
        <v>136</v>
      </c>
      <c r="H74" s="12" t="s">
        <v>243</v>
      </c>
      <c r="I74" s="12" t="s">
        <v>165</v>
      </c>
      <c r="J74" s="12" t="s">
        <v>166</v>
      </c>
    </row>
    <row r="75" spans="2:10" s="8" customFormat="1" ht="12.75">
      <c r="B75" s="54" t="s">
        <v>360</v>
      </c>
      <c r="C75" s="12">
        <v>0.08</v>
      </c>
      <c r="D75" s="12">
        <v>8.4000000000000005E-2</v>
      </c>
      <c r="E75" s="12">
        <v>4.4999999999999998E-2</v>
      </c>
      <c r="F75" s="12">
        <v>8.4000000000000005E-2</v>
      </c>
      <c r="G75" s="12" t="s">
        <v>160</v>
      </c>
      <c r="H75" s="12" t="s">
        <v>259</v>
      </c>
      <c r="I75" s="12" t="s">
        <v>176</v>
      </c>
      <c r="J75" s="12" t="s">
        <v>177</v>
      </c>
    </row>
    <row r="76" spans="2:10" s="8" customFormat="1" ht="12.75">
      <c r="B76" s="54" t="s">
        <v>361</v>
      </c>
      <c r="C76" s="12">
        <v>21.72</v>
      </c>
      <c r="D76" s="12">
        <v>0.126</v>
      </c>
      <c r="E76" s="12">
        <v>14.5</v>
      </c>
      <c r="F76" s="12">
        <v>0.126</v>
      </c>
      <c r="G76" s="12">
        <v>13</v>
      </c>
      <c r="H76" s="12">
        <v>17</v>
      </c>
      <c r="I76" s="13">
        <v>0.3</v>
      </c>
      <c r="J76" s="13">
        <v>0.4</v>
      </c>
    </row>
    <row r="77" spans="2:10" s="8" customFormat="1" ht="12.75">
      <c r="B77" s="54" t="s">
        <v>362</v>
      </c>
      <c r="C77" s="12">
        <v>14.52</v>
      </c>
      <c r="D77" s="12">
        <v>0.11899999999999999</v>
      </c>
      <c r="E77" s="12">
        <v>8.8699999999999992</v>
      </c>
      <c r="F77" s="12">
        <v>0.11899999999999999</v>
      </c>
      <c r="G77" s="12">
        <v>18</v>
      </c>
      <c r="H77" s="12">
        <v>24</v>
      </c>
      <c r="I77" s="13">
        <v>0.3</v>
      </c>
      <c r="J77" s="13">
        <v>0.4</v>
      </c>
    </row>
    <row r="78" spans="2:10" s="8" customFormat="1" ht="12.75">
      <c r="B78" s="54" t="s">
        <v>363</v>
      </c>
      <c r="C78" s="12">
        <v>8.89</v>
      </c>
      <c r="D78" s="12">
        <v>0.11600000000000001</v>
      </c>
      <c r="E78" s="12">
        <v>5.52</v>
      </c>
      <c r="F78" s="12">
        <v>0.11600000000000001</v>
      </c>
      <c r="G78" s="12" t="s">
        <v>254</v>
      </c>
      <c r="H78" s="12" t="s">
        <v>200</v>
      </c>
      <c r="I78" s="12" t="s">
        <v>22</v>
      </c>
      <c r="J78" s="12" t="s">
        <v>23</v>
      </c>
    </row>
    <row r="79" spans="2:10" s="8" customFormat="1" ht="12.75">
      <c r="B79" s="54" t="s">
        <v>364</v>
      </c>
      <c r="C79" s="12">
        <v>5.53</v>
      </c>
      <c r="D79" s="12">
        <v>0.11</v>
      </c>
      <c r="E79" s="12">
        <v>3.69</v>
      </c>
      <c r="F79" s="12">
        <v>0.11</v>
      </c>
      <c r="G79" s="12" t="s">
        <v>200</v>
      </c>
      <c r="H79" s="12" t="s">
        <v>20</v>
      </c>
      <c r="I79" s="12" t="s">
        <v>29</v>
      </c>
      <c r="J79" s="12" t="s">
        <v>30</v>
      </c>
    </row>
    <row r="80" spans="2:10" s="8" customFormat="1" ht="12.75">
      <c r="B80" s="54" t="s">
        <v>365</v>
      </c>
      <c r="C80" s="12">
        <v>3.7</v>
      </c>
      <c r="D80" s="12">
        <v>0.1</v>
      </c>
      <c r="E80" s="12">
        <v>2.19</v>
      </c>
      <c r="F80" s="12">
        <v>0.1</v>
      </c>
      <c r="G80" s="12" t="s">
        <v>201</v>
      </c>
      <c r="H80" s="12" t="s">
        <v>255</v>
      </c>
      <c r="I80" s="12" t="s">
        <v>38</v>
      </c>
      <c r="J80" s="12" t="s">
        <v>39</v>
      </c>
    </row>
    <row r="81" spans="2:10" s="8" customFormat="1" ht="12.75">
      <c r="B81" s="54" t="s">
        <v>366</v>
      </c>
      <c r="C81" s="12">
        <v>2.29</v>
      </c>
      <c r="D81" s="12">
        <v>9.7000000000000003E-2</v>
      </c>
      <c r="E81" s="12">
        <v>1.38</v>
      </c>
      <c r="F81" s="12">
        <v>9.7000000000000003E-2</v>
      </c>
      <c r="G81" s="12" t="s">
        <v>36</v>
      </c>
      <c r="H81" s="12" t="s">
        <v>45</v>
      </c>
      <c r="I81" s="12" t="s">
        <v>49</v>
      </c>
      <c r="J81" s="12" t="s">
        <v>206</v>
      </c>
    </row>
    <row r="82" spans="2:10" s="8" customFormat="1" ht="12.75">
      <c r="B82" s="54" t="s">
        <v>367</v>
      </c>
      <c r="C82" s="12">
        <v>1.44</v>
      </c>
      <c r="D82" s="12">
        <v>9.7000000000000003E-2</v>
      </c>
      <c r="E82" s="12">
        <v>0.87</v>
      </c>
      <c r="F82" s="12">
        <v>9.7000000000000003E-2</v>
      </c>
      <c r="G82" s="12" t="s">
        <v>203</v>
      </c>
      <c r="H82" s="12" t="s">
        <v>60</v>
      </c>
      <c r="I82" s="12" t="s">
        <v>57</v>
      </c>
      <c r="J82" s="12" t="s">
        <v>209</v>
      </c>
    </row>
    <row r="83" spans="2:10" s="8" customFormat="1" ht="12.75">
      <c r="B83" s="54" t="s">
        <v>368</v>
      </c>
      <c r="C83" s="12">
        <v>1.04</v>
      </c>
      <c r="D83" s="12">
        <v>9.7000000000000003E-2</v>
      </c>
      <c r="E83" s="12">
        <v>0.62</v>
      </c>
      <c r="F83" s="12">
        <v>9.7000000000000003E-2</v>
      </c>
      <c r="G83" s="12" t="s">
        <v>54</v>
      </c>
      <c r="H83" s="12" t="s">
        <v>56</v>
      </c>
      <c r="I83" s="12" t="s">
        <v>68</v>
      </c>
      <c r="J83" s="12" t="s">
        <v>212</v>
      </c>
    </row>
    <row r="84" spans="2:10" s="8" customFormat="1" ht="12.75">
      <c r="B84" s="54" t="s">
        <v>369</v>
      </c>
      <c r="C84" s="12">
        <v>0.77</v>
      </c>
      <c r="D84" s="12">
        <v>9.4E-2</v>
      </c>
      <c r="E84" s="12">
        <v>0.46</v>
      </c>
      <c r="F84" s="12">
        <v>9.4E-2</v>
      </c>
      <c r="G84" s="12" t="s">
        <v>66</v>
      </c>
      <c r="H84" s="12" t="s">
        <v>71</v>
      </c>
      <c r="I84" s="12" t="s">
        <v>80</v>
      </c>
      <c r="J84" s="12" t="s">
        <v>215</v>
      </c>
    </row>
    <row r="85" spans="2:10" s="8" customFormat="1" ht="12.75">
      <c r="B85" s="54" t="s">
        <v>370</v>
      </c>
      <c r="C85" s="12">
        <v>0.53</v>
      </c>
      <c r="D85" s="12">
        <v>0.09</v>
      </c>
      <c r="E85" s="12">
        <v>0.32</v>
      </c>
      <c r="F85" s="12">
        <v>0.09</v>
      </c>
      <c r="G85" s="12" t="s">
        <v>62</v>
      </c>
      <c r="H85" s="12" t="s">
        <v>79</v>
      </c>
      <c r="I85" s="12" t="s">
        <v>89</v>
      </c>
      <c r="J85" s="12" t="s">
        <v>219</v>
      </c>
    </row>
    <row r="86" spans="2:10" s="8" customFormat="1" ht="12.75">
      <c r="B86" s="54" t="s">
        <v>371</v>
      </c>
      <c r="C86" s="12">
        <v>0.38</v>
      </c>
      <c r="D86" s="12">
        <v>0.09</v>
      </c>
      <c r="E86" s="12">
        <v>0.23</v>
      </c>
      <c r="F86" s="12">
        <v>0.09</v>
      </c>
      <c r="G86" s="12" t="s">
        <v>72</v>
      </c>
      <c r="H86" s="12" t="s">
        <v>92</v>
      </c>
      <c r="I86" s="12" t="s">
        <v>98</v>
      </c>
      <c r="J86" s="12" t="s">
        <v>256</v>
      </c>
    </row>
    <row r="87" spans="2:10" s="8" customFormat="1" ht="12.75">
      <c r="B87" s="54" t="s">
        <v>372</v>
      </c>
      <c r="C87" s="12">
        <v>0.3</v>
      </c>
      <c r="D87" s="12">
        <v>8.6999999999999994E-2</v>
      </c>
      <c r="E87" s="12">
        <v>0.18</v>
      </c>
      <c r="F87" s="12">
        <v>8.6999999999999994E-2</v>
      </c>
      <c r="G87" s="12" t="s">
        <v>218</v>
      </c>
      <c r="H87" s="12" t="s">
        <v>111</v>
      </c>
      <c r="I87" s="12" t="s">
        <v>109</v>
      </c>
      <c r="J87" s="12" t="s">
        <v>257</v>
      </c>
    </row>
    <row r="88" spans="2:10" s="8" customFormat="1" ht="12.75">
      <c r="B88" s="54" t="s">
        <v>373</v>
      </c>
      <c r="C88" s="12">
        <v>0.25</v>
      </c>
      <c r="D88" s="12">
        <v>8.6999999999999994E-2</v>
      </c>
      <c r="E88" s="12">
        <v>0.14000000000000001</v>
      </c>
      <c r="F88" s="12">
        <v>8.6999999999999994E-2</v>
      </c>
      <c r="G88" s="12" t="s">
        <v>88</v>
      </c>
      <c r="H88" s="12" t="s">
        <v>101</v>
      </c>
      <c r="I88" s="12" t="s">
        <v>269</v>
      </c>
      <c r="J88" s="12" t="s">
        <v>225</v>
      </c>
    </row>
    <row r="89" spans="2:10" s="8" customFormat="1" ht="12.75">
      <c r="B89" s="54" t="s">
        <v>374</v>
      </c>
      <c r="C89" s="12">
        <v>0.2</v>
      </c>
      <c r="D89" s="12">
        <v>8.6999999999999994E-2</v>
      </c>
      <c r="E89" s="12">
        <v>0.12</v>
      </c>
      <c r="F89" s="12">
        <v>8.6999999999999994E-2</v>
      </c>
      <c r="G89" s="12" t="s">
        <v>124</v>
      </c>
      <c r="H89" s="12" t="s">
        <v>126</v>
      </c>
      <c r="I89" s="12" t="s">
        <v>270</v>
      </c>
      <c r="J89" s="12" t="s">
        <v>258</v>
      </c>
    </row>
    <row r="90" spans="2:10" s="8" customFormat="1" ht="12.75">
      <c r="B90" s="54" t="s">
        <v>375</v>
      </c>
      <c r="C90" s="12">
        <v>0.15</v>
      </c>
      <c r="D90" s="12">
        <v>8.6999999999999994E-2</v>
      </c>
      <c r="E90" s="12">
        <v>9.0999999999999998E-2</v>
      </c>
      <c r="F90" s="12">
        <v>8.6999999999999994E-2</v>
      </c>
      <c r="G90" s="12" t="s">
        <v>108</v>
      </c>
      <c r="H90" s="12" t="s">
        <v>164</v>
      </c>
      <c r="I90" s="12" t="s">
        <v>271</v>
      </c>
      <c r="J90" s="12" t="s">
        <v>232</v>
      </c>
    </row>
    <row r="91" spans="2:10" s="8" customFormat="1" ht="12.75">
      <c r="B91" s="54" t="s">
        <v>376</v>
      </c>
      <c r="C91" s="12">
        <v>0.12</v>
      </c>
      <c r="D91" s="12">
        <v>8.5999999999999993E-2</v>
      </c>
      <c r="E91" s="12">
        <v>7.2999999999999995E-2</v>
      </c>
      <c r="F91" s="12">
        <v>8.5999999999999993E-2</v>
      </c>
      <c r="G91" s="12" t="s">
        <v>227</v>
      </c>
      <c r="H91" s="12" t="s">
        <v>155</v>
      </c>
      <c r="I91" s="12" t="s">
        <v>272</v>
      </c>
      <c r="J91" s="12" t="s">
        <v>238</v>
      </c>
    </row>
    <row r="92" spans="2:10" s="8" customFormat="1" ht="12.75">
      <c r="B92" s="54" t="s">
        <v>377</v>
      </c>
      <c r="C92" s="12">
        <v>0.09</v>
      </c>
      <c r="D92" s="12">
        <v>8.5999999999999993E-2</v>
      </c>
      <c r="E92" s="12">
        <v>5.8999999999999997E-2</v>
      </c>
      <c r="F92" s="12">
        <v>8.5999999999999993E-2</v>
      </c>
      <c r="G92" s="12" t="s">
        <v>145</v>
      </c>
      <c r="H92" s="12" t="s">
        <v>141</v>
      </c>
      <c r="I92" s="12" t="s">
        <v>273</v>
      </c>
      <c r="J92" s="12" t="s">
        <v>241</v>
      </c>
    </row>
    <row r="93" spans="2:10" s="8" customFormat="1" ht="12.75">
      <c r="B93" s="54" t="s">
        <v>378</v>
      </c>
      <c r="C93" s="12">
        <v>0.09</v>
      </c>
      <c r="D93" s="12">
        <v>8.5999999999999993E-2</v>
      </c>
      <c r="E93" s="12">
        <v>5.8999999999999997E-2</v>
      </c>
      <c r="F93" s="12">
        <v>8.5999999999999993E-2</v>
      </c>
      <c r="G93" s="12" t="s">
        <v>136</v>
      </c>
      <c r="H93" s="12" t="s">
        <v>243</v>
      </c>
      <c r="I93" s="12" t="s">
        <v>274</v>
      </c>
      <c r="J93" s="12" t="s">
        <v>246</v>
      </c>
    </row>
    <row r="94" spans="2:10" s="8" customFormat="1" ht="12.75">
      <c r="B94" s="54" t="s">
        <v>379</v>
      </c>
      <c r="C94" s="12">
        <v>0.09</v>
      </c>
      <c r="D94" s="12">
        <v>8.5999999999999993E-2</v>
      </c>
      <c r="E94" s="12">
        <v>5.8999999999999997E-2</v>
      </c>
      <c r="F94" s="12">
        <v>8.5999999999999993E-2</v>
      </c>
      <c r="G94" s="12" t="s">
        <v>160</v>
      </c>
      <c r="H94" s="12" t="s">
        <v>259</v>
      </c>
      <c r="I94" s="12" t="s">
        <v>275</v>
      </c>
      <c r="J94" s="12" t="s">
        <v>260</v>
      </c>
    </row>
    <row r="95" spans="2:10" s="8" customFormat="1" ht="12.75">
      <c r="C95" s="49"/>
      <c r="D95" s="49"/>
      <c r="E95" s="49"/>
      <c r="F95" s="49"/>
      <c r="G95" s="49"/>
      <c r="H95" s="49"/>
      <c r="I95" s="49"/>
      <c r="J95" s="49"/>
    </row>
    <row r="96" spans="2:10" s="8" customFormat="1" ht="12.75">
      <c r="B96" s="54" t="s">
        <v>380</v>
      </c>
      <c r="C96" s="10">
        <v>1.5549999999999999</v>
      </c>
      <c r="D96" s="10">
        <v>0.10199999999999999</v>
      </c>
      <c r="E96" s="10">
        <v>1.5549999999999999</v>
      </c>
      <c r="F96" s="10">
        <v>0.10199999999999999</v>
      </c>
      <c r="G96" s="10" t="s">
        <v>19</v>
      </c>
      <c r="H96" s="10" t="s">
        <v>25</v>
      </c>
      <c r="I96" s="10" t="s">
        <v>26</v>
      </c>
      <c r="J96" s="10" t="s">
        <v>27</v>
      </c>
    </row>
    <row r="97" spans="2:10" s="8" customFormat="1" ht="12.75">
      <c r="B97" s="54" t="s">
        <v>381</v>
      </c>
      <c r="C97" s="10">
        <v>1.5529999999999999</v>
      </c>
      <c r="D97" s="10">
        <v>0.10199999999999999</v>
      </c>
      <c r="E97" s="10">
        <v>1.5529999999999999</v>
      </c>
      <c r="F97" s="10">
        <v>0.10199999999999999</v>
      </c>
      <c r="G97" s="10" t="s">
        <v>25</v>
      </c>
      <c r="H97" s="10" t="s">
        <v>33</v>
      </c>
      <c r="I97" s="10" t="s">
        <v>34</v>
      </c>
      <c r="J97" s="10" t="s">
        <v>35</v>
      </c>
    </row>
    <row r="98" spans="2:10" s="8" customFormat="1" ht="12.75">
      <c r="B98" s="54" t="s">
        <v>382</v>
      </c>
      <c r="C98" s="10">
        <v>1.5529999999999999</v>
      </c>
      <c r="D98" s="10">
        <v>0.10199999999999999</v>
      </c>
      <c r="E98" s="10">
        <v>1.5529999999999999</v>
      </c>
      <c r="F98" s="10">
        <v>0.10199999999999999</v>
      </c>
      <c r="G98" s="10" t="s">
        <v>40</v>
      </c>
      <c r="H98" s="10" t="s">
        <v>42</v>
      </c>
      <c r="I98" s="10" t="s">
        <v>43</v>
      </c>
      <c r="J98" s="10" t="s">
        <v>44</v>
      </c>
    </row>
    <row r="99" spans="2:10" s="8" customFormat="1" ht="12.75">
      <c r="B99" s="54" t="s">
        <v>383</v>
      </c>
      <c r="C99" s="10">
        <v>1.54</v>
      </c>
      <c r="D99" s="10">
        <v>0.10199999999999999</v>
      </c>
      <c r="E99" s="10">
        <v>1.54</v>
      </c>
      <c r="F99" s="10">
        <v>0.10199999999999999</v>
      </c>
      <c r="G99" s="10" t="s">
        <v>47</v>
      </c>
      <c r="H99" s="10" t="s">
        <v>51</v>
      </c>
      <c r="I99" s="10" t="s">
        <v>52</v>
      </c>
      <c r="J99" s="10" t="s">
        <v>53</v>
      </c>
    </row>
    <row r="100" spans="2:10" s="8" customFormat="1" ht="12.75">
      <c r="B100" s="54" t="s">
        <v>384</v>
      </c>
      <c r="C100" s="10">
        <v>1.54</v>
      </c>
      <c r="D100" s="10">
        <v>0.10199999999999999</v>
      </c>
      <c r="E100" s="10">
        <v>0.93</v>
      </c>
      <c r="F100" s="10">
        <v>0.10199999999999999</v>
      </c>
      <c r="G100" s="10" t="s">
        <v>61</v>
      </c>
      <c r="H100" s="10" t="s">
        <v>63</v>
      </c>
      <c r="I100" s="10" t="s">
        <v>64</v>
      </c>
      <c r="J100" s="10" t="s">
        <v>65</v>
      </c>
    </row>
    <row r="101" spans="2:10" s="8" customFormat="1" ht="12.75">
      <c r="B101" s="54" t="s">
        <v>385</v>
      </c>
      <c r="C101" s="10">
        <v>1.1100000000000001</v>
      </c>
      <c r="D101" s="10">
        <v>9.7000000000000003E-2</v>
      </c>
      <c r="E101" s="10">
        <v>0.67100000000000004</v>
      </c>
      <c r="F101" s="10">
        <v>9.7000000000000003E-2</v>
      </c>
      <c r="G101" s="10" t="s">
        <v>71</v>
      </c>
      <c r="H101" s="10" t="s">
        <v>74</v>
      </c>
      <c r="I101" s="10" t="s">
        <v>75</v>
      </c>
      <c r="J101" s="10" t="s">
        <v>76</v>
      </c>
    </row>
    <row r="102" spans="2:10" s="8" customFormat="1" ht="12.75">
      <c r="B102" s="54" t="s">
        <v>386</v>
      </c>
      <c r="C102" s="10">
        <v>0.82</v>
      </c>
      <c r="D102" s="10">
        <v>9.1999999999999998E-2</v>
      </c>
      <c r="E102" s="10">
        <v>0.495</v>
      </c>
      <c r="F102" s="10">
        <v>9.1999999999999998E-2</v>
      </c>
      <c r="G102" s="10" t="s">
        <v>82</v>
      </c>
      <c r="H102" s="10" t="s">
        <v>84</v>
      </c>
      <c r="I102" s="10" t="s">
        <v>85</v>
      </c>
      <c r="J102" s="10" t="s">
        <v>86</v>
      </c>
    </row>
    <row r="103" spans="2:10" s="8" customFormat="1" ht="12.75">
      <c r="B103" s="54" t="s">
        <v>387</v>
      </c>
      <c r="C103" s="10">
        <v>0.56000000000000005</v>
      </c>
      <c r="D103" s="10">
        <v>8.7999999999999995E-2</v>
      </c>
      <c r="E103" s="10">
        <v>0.34300000000000003</v>
      </c>
      <c r="F103" s="10">
        <v>8.7999999999999995E-2</v>
      </c>
      <c r="G103" s="10" t="s">
        <v>91</v>
      </c>
      <c r="H103" s="10" t="s">
        <v>93</v>
      </c>
      <c r="I103" s="10" t="s">
        <v>94</v>
      </c>
      <c r="J103" s="10" t="s">
        <v>95</v>
      </c>
    </row>
    <row r="104" spans="2:10" s="8" customFormat="1" ht="12.75">
      <c r="B104" s="54" t="s">
        <v>388</v>
      </c>
      <c r="C104" s="10">
        <v>0.41</v>
      </c>
      <c r="D104" s="10">
        <v>8.5000000000000006E-2</v>
      </c>
      <c r="E104" s="10">
        <v>0.247</v>
      </c>
      <c r="F104" s="10">
        <v>8.5000000000000006E-2</v>
      </c>
      <c r="G104" s="10" t="s">
        <v>100</v>
      </c>
      <c r="H104" s="10" t="s">
        <v>103</v>
      </c>
      <c r="I104" s="10" t="s">
        <v>104</v>
      </c>
      <c r="J104" s="10" t="s">
        <v>105</v>
      </c>
    </row>
    <row r="105" spans="2:10" s="8" customFormat="1" ht="12.75">
      <c r="B105" s="54" t="s">
        <v>389</v>
      </c>
      <c r="C105" s="10">
        <v>0.32</v>
      </c>
      <c r="D105" s="10">
        <v>8.2000000000000003E-2</v>
      </c>
      <c r="E105" s="10">
        <v>0.19600000000000001</v>
      </c>
      <c r="F105" s="10">
        <v>8.2000000000000003E-2</v>
      </c>
      <c r="G105" s="10" t="s">
        <v>112</v>
      </c>
      <c r="H105" s="10" t="s">
        <v>113</v>
      </c>
      <c r="I105" s="10" t="s">
        <v>114</v>
      </c>
      <c r="J105" s="10" t="s">
        <v>115</v>
      </c>
    </row>
    <row r="106" spans="2:10" s="8" customFormat="1" ht="12.75">
      <c r="B106" s="54" t="s">
        <v>390</v>
      </c>
      <c r="C106" s="10">
        <v>0.26500000000000001</v>
      </c>
      <c r="D106" s="10">
        <v>8.2000000000000003E-2</v>
      </c>
      <c r="E106" s="10">
        <v>0.159</v>
      </c>
      <c r="F106" s="10">
        <v>8.2000000000000003E-2</v>
      </c>
      <c r="G106" s="10" t="s">
        <v>119</v>
      </c>
      <c r="H106" s="10" t="s">
        <v>121</v>
      </c>
      <c r="I106" s="10" t="s">
        <v>122</v>
      </c>
      <c r="J106" s="10" t="s">
        <v>123</v>
      </c>
    </row>
    <row r="107" spans="2:10" s="8" customFormat="1" ht="12.75">
      <c r="B107" s="54" t="s">
        <v>391</v>
      </c>
      <c r="C107" s="10">
        <v>0.21099999999999999</v>
      </c>
      <c r="D107" s="10">
        <v>8.2000000000000003E-2</v>
      </c>
      <c r="E107" s="10">
        <v>0.127</v>
      </c>
      <c r="F107" s="10">
        <v>8.2000000000000003E-2</v>
      </c>
      <c r="G107" s="10" t="s">
        <v>131</v>
      </c>
      <c r="H107" s="10" t="s">
        <v>132</v>
      </c>
      <c r="I107" s="10" t="s">
        <v>133</v>
      </c>
      <c r="J107" s="10" t="s">
        <v>134</v>
      </c>
    </row>
    <row r="108" spans="2:10" s="8" customFormat="1" ht="12.75">
      <c r="B108" s="54" t="s">
        <v>392</v>
      </c>
      <c r="C108" s="10">
        <v>0.16200000000000001</v>
      </c>
      <c r="D108" s="10">
        <v>7.9000000000000001E-2</v>
      </c>
      <c r="E108" s="10">
        <v>9.6500000000000002E-2</v>
      </c>
      <c r="F108" s="10">
        <v>7.9000000000000001E-2</v>
      </c>
      <c r="G108" s="10" t="s">
        <v>140</v>
      </c>
      <c r="H108" s="10" t="s">
        <v>142</v>
      </c>
      <c r="I108" s="10" t="s">
        <v>143</v>
      </c>
      <c r="J108" s="10" t="s">
        <v>144</v>
      </c>
    </row>
    <row r="109" spans="2:10" s="8" customFormat="1" ht="12.75">
      <c r="B109" s="54" t="s">
        <v>393</v>
      </c>
      <c r="C109" s="10">
        <v>0.13</v>
      </c>
      <c r="D109" s="10">
        <v>7.8E-2</v>
      </c>
      <c r="E109" s="10">
        <v>7.6899999999999996E-2</v>
      </c>
      <c r="F109" s="10">
        <v>7.8E-2</v>
      </c>
      <c r="G109" s="10" t="s">
        <v>149</v>
      </c>
      <c r="H109" s="10" t="s">
        <v>150</v>
      </c>
      <c r="I109" s="10" t="s">
        <v>151</v>
      </c>
      <c r="J109" s="10" t="s">
        <v>152</v>
      </c>
    </row>
    <row r="110" spans="2:10" s="8" customFormat="1" ht="12.75">
      <c r="B110" s="54" t="s">
        <v>394</v>
      </c>
      <c r="C110" s="10">
        <v>0.1023</v>
      </c>
      <c r="D110" s="10">
        <v>7.6999999999999999E-2</v>
      </c>
      <c r="E110" s="10">
        <v>6.08E-2</v>
      </c>
      <c r="F110" s="10">
        <v>7.6999999999999999E-2</v>
      </c>
      <c r="G110" s="10" t="s">
        <v>159</v>
      </c>
      <c r="H110" s="10" t="s">
        <v>161</v>
      </c>
      <c r="I110" s="10" t="s">
        <v>162</v>
      </c>
      <c r="J110" s="10" t="s">
        <v>163</v>
      </c>
    </row>
    <row r="111" spans="2:10" s="8" customFormat="1" ht="12.75">
      <c r="B111" s="54" t="s">
        <v>395</v>
      </c>
      <c r="C111" s="10">
        <v>8.0799999999999997E-2</v>
      </c>
      <c r="D111" s="10">
        <v>7.5999999999999998E-2</v>
      </c>
      <c r="E111" s="10">
        <v>4.6800000000000001E-2</v>
      </c>
      <c r="F111" s="10">
        <v>7.5999999999999998E-2</v>
      </c>
      <c r="G111" s="10" t="s">
        <v>168</v>
      </c>
      <c r="H111" s="10" t="s">
        <v>171</v>
      </c>
      <c r="I111" s="10" t="s">
        <v>172</v>
      </c>
      <c r="J111" s="10" t="s">
        <v>173</v>
      </c>
    </row>
    <row r="112" spans="2:10" s="8" customFormat="1" ht="12.75">
      <c r="B112" s="54" t="s">
        <v>396</v>
      </c>
      <c r="C112" s="10">
        <v>6.4799999999999996E-2</v>
      </c>
      <c r="D112" s="10">
        <v>7.4999999999999997E-2</v>
      </c>
      <c r="E112" s="10">
        <v>3.6200000000000003E-2</v>
      </c>
      <c r="F112" s="10">
        <v>7.4999999999999997E-2</v>
      </c>
      <c r="G112" s="10" t="s">
        <v>178</v>
      </c>
      <c r="H112" s="10" t="s">
        <v>180</v>
      </c>
      <c r="I112" s="10" t="s">
        <v>181</v>
      </c>
      <c r="J112" s="10" t="s">
        <v>182</v>
      </c>
    </row>
    <row r="113" spans="2:10" s="8" customFormat="1" ht="12.75">
      <c r="B113" s="54" t="s">
        <v>397</v>
      </c>
      <c r="C113" s="10">
        <v>5.2999999999999999E-2</v>
      </c>
      <c r="D113" s="10">
        <v>7.4999999999999997E-2</v>
      </c>
      <c r="E113" s="10">
        <v>2.8299999999999999E-2</v>
      </c>
      <c r="F113" s="10">
        <v>7.4999999999999997E-2</v>
      </c>
      <c r="G113" s="10" t="s">
        <v>186</v>
      </c>
      <c r="H113" s="10" t="s">
        <v>188</v>
      </c>
      <c r="I113" s="10" t="s">
        <v>189</v>
      </c>
      <c r="J113" s="10" t="s">
        <v>190</v>
      </c>
    </row>
    <row r="114" spans="2:10" s="8" customFormat="1" ht="12.75">
      <c r="B114" s="54" t="s">
        <v>398</v>
      </c>
      <c r="C114" s="10">
        <v>4.4400000000000002E-2</v>
      </c>
      <c r="D114" s="10">
        <v>6.8000000000000005E-2</v>
      </c>
      <c r="E114" s="10">
        <v>2.2499999999999999E-2</v>
      </c>
      <c r="F114" s="10">
        <v>6.8000000000000005E-2</v>
      </c>
      <c r="G114" s="10" t="s">
        <v>195</v>
      </c>
      <c r="H114" s="10" t="s">
        <v>196</v>
      </c>
      <c r="I114" s="10" t="s">
        <v>197</v>
      </c>
      <c r="J114" s="10" t="s">
        <v>198</v>
      </c>
    </row>
    <row r="115" spans="2:10" s="8" customFormat="1" ht="12.75">
      <c r="B115" s="54" t="s">
        <v>399</v>
      </c>
      <c r="C115" s="10" t="s">
        <v>19</v>
      </c>
      <c r="D115" s="10" t="s">
        <v>19</v>
      </c>
      <c r="E115" s="10" t="s">
        <v>19</v>
      </c>
      <c r="F115" s="10" t="s">
        <v>19</v>
      </c>
      <c r="G115" s="10" t="s">
        <v>19</v>
      </c>
      <c r="H115" s="10" t="s">
        <v>19</v>
      </c>
      <c r="I115" s="10" t="s">
        <v>19</v>
      </c>
      <c r="J115" s="10" t="s">
        <v>19</v>
      </c>
    </row>
    <row r="116" spans="2:10" s="8" customFormat="1" ht="12.75">
      <c r="B116" s="54" t="s">
        <v>400</v>
      </c>
      <c r="C116" s="10" t="s">
        <v>19</v>
      </c>
      <c r="D116" s="10" t="s">
        <v>19</v>
      </c>
      <c r="E116" s="10" t="s">
        <v>19</v>
      </c>
      <c r="F116" s="10" t="s">
        <v>19</v>
      </c>
      <c r="G116" s="10" t="s">
        <v>19</v>
      </c>
      <c r="H116" s="10" t="s">
        <v>19</v>
      </c>
      <c r="I116" s="10" t="s">
        <v>19</v>
      </c>
      <c r="J116" s="10" t="s">
        <v>19</v>
      </c>
    </row>
    <row r="117" spans="2:10" s="8" customFormat="1" ht="12.75">
      <c r="B117" s="54" t="s">
        <v>401</v>
      </c>
      <c r="C117" s="10">
        <v>1.5549999999999999</v>
      </c>
      <c r="D117" s="10">
        <v>9.7000000000000003E-2</v>
      </c>
      <c r="E117" s="10">
        <v>1.5549999999999999</v>
      </c>
      <c r="F117" s="10">
        <v>9.7000000000000003E-2</v>
      </c>
      <c r="G117" s="10" t="s">
        <v>200</v>
      </c>
      <c r="H117" s="10" t="s">
        <v>20</v>
      </c>
      <c r="I117" s="10" t="s">
        <v>26</v>
      </c>
      <c r="J117" s="10" t="s">
        <v>27</v>
      </c>
    </row>
    <row r="118" spans="2:10" s="8" customFormat="1" ht="12.75">
      <c r="B118" s="54" t="s">
        <v>402</v>
      </c>
      <c r="C118" s="10">
        <v>1.5529999999999999</v>
      </c>
      <c r="D118" s="10">
        <v>9.7000000000000003E-2</v>
      </c>
      <c r="E118" s="10">
        <v>1.5529999999999999</v>
      </c>
      <c r="F118" s="10">
        <v>9.7000000000000003E-2</v>
      </c>
      <c r="G118" s="10" t="s">
        <v>201</v>
      </c>
      <c r="H118" s="10" t="s">
        <v>202</v>
      </c>
      <c r="I118" s="10" t="s">
        <v>34</v>
      </c>
      <c r="J118" s="10" t="s">
        <v>35</v>
      </c>
    </row>
    <row r="119" spans="2:10" s="8" customFormat="1" ht="12.75">
      <c r="B119" s="54" t="s">
        <v>403</v>
      </c>
      <c r="C119" s="10">
        <v>1.5529999999999999</v>
      </c>
      <c r="D119" s="10">
        <v>8.5000000000000006E-2</v>
      </c>
      <c r="E119" s="10">
        <v>1.5529999999999999</v>
      </c>
      <c r="F119" s="10">
        <v>8.5000000000000006E-2</v>
      </c>
      <c r="G119" s="10" t="s">
        <v>204</v>
      </c>
      <c r="H119" s="10" t="s">
        <v>205</v>
      </c>
      <c r="I119" s="10" t="s">
        <v>43</v>
      </c>
      <c r="J119" s="10" t="s">
        <v>44</v>
      </c>
    </row>
    <row r="120" spans="2:10" s="8" customFormat="1" ht="12.75">
      <c r="B120" s="54" t="s">
        <v>404</v>
      </c>
      <c r="C120" s="10">
        <v>1.54</v>
      </c>
      <c r="D120" s="10">
        <v>0.08</v>
      </c>
      <c r="E120" s="10">
        <v>1.54</v>
      </c>
      <c r="F120" s="10">
        <v>0.08</v>
      </c>
      <c r="G120" s="10" t="s">
        <v>203</v>
      </c>
      <c r="H120" s="10" t="s">
        <v>46</v>
      </c>
      <c r="I120" s="10" t="s">
        <v>207</v>
      </c>
      <c r="J120" s="10" t="s">
        <v>208</v>
      </c>
    </row>
    <row r="121" spans="2:10" s="8" customFormat="1" ht="12.75">
      <c r="B121" s="54" t="s">
        <v>405</v>
      </c>
      <c r="C121" s="10">
        <v>1.54</v>
      </c>
      <c r="D121" s="10">
        <v>0.08</v>
      </c>
      <c r="E121" s="10">
        <v>0.93</v>
      </c>
      <c r="F121" s="10">
        <v>0.08</v>
      </c>
      <c r="G121" s="10" t="s">
        <v>59</v>
      </c>
      <c r="H121" s="10" t="s">
        <v>67</v>
      </c>
      <c r="I121" s="10" t="s">
        <v>210</v>
      </c>
      <c r="J121" s="10" t="s">
        <v>211</v>
      </c>
    </row>
    <row r="122" spans="2:10" s="8" customFormat="1" ht="12.75">
      <c r="B122" s="54" t="s">
        <v>406</v>
      </c>
      <c r="C122" s="10">
        <v>1.1100000000000001</v>
      </c>
      <c r="D122" s="10">
        <v>0.08</v>
      </c>
      <c r="E122" s="10">
        <v>0.67100000000000004</v>
      </c>
      <c r="F122" s="10">
        <v>0.08</v>
      </c>
      <c r="G122" s="10" t="s">
        <v>70</v>
      </c>
      <c r="H122" s="10" t="s">
        <v>72</v>
      </c>
      <c r="I122" s="10" t="s">
        <v>213</v>
      </c>
      <c r="J122" s="10" t="s">
        <v>214</v>
      </c>
    </row>
    <row r="123" spans="2:10" s="8" customFormat="1" ht="12.75">
      <c r="B123" s="54" t="s">
        <v>407</v>
      </c>
      <c r="C123" s="10">
        <v>8.2000000000000003E-2</v>
      </c>
      <c r="D123" s="10">
        <v>7.8E-2</v>
      </c>
      <c r="E123" s="10">
        <v>0.495</v>
      </c>
      <c r="F123" s="10">
        <v>7.8E-2</v>
      </c>
      <c r="G123" s="10" t="s">
        <v>73</v>
      </c>
      <c r="H123" s="10" t="s">
        <v>87</v>
      </c>
      <c r="I123" s="10" t="s">
        <v>216</v>
      </c>
      <c r="J123" s="10" t="s">
        <v>217</v>
      </c>
    </row>
    <row r="124" spans="2:10" s="8" customFormat="1" ht="12.75">
      <c r="B124" s="54" t="s">
        <v>408</v>
      </c>
      <c r="C124" s="10">
        <v>0.56999999999999995</v>
      </c>
      <c r="D124" s="10">
        <v>7.6999999999999999E-2</v>
      </c>
      <c r="E124" s="10">
        <v>0.34300000000000003</v>
      </c>
      <c r="F124" s="10">
        <v>7.6999999999999999E-2</v>
      </c>
      <c r="G124" s="10" t="s">
        <v>220</v>
      </c>
      <c r="H124" s="10" t="s">
        <v>102</v>
      </c>
      <c r="I124" s="10" t="s">
        <v>221</v>
      </c>
      <c r="J124" s="10" t="s">
        <v>95</v>
      </c>
    </row>
    <row r="125" spans="2:10" s="8" customFormat="1" ht="12.75">
      <c r="B125" s="54" t="s">
        <v>409</v>
      </c>
      <c r="C125" s="10">
        <v>0.41</v>
      </c>
      <c r="D125" s="10">
        <v>7.3999999999999996E-2</v>
      </c>
      <c r="E125" s="10">
        <v>0.247</v>
      </c>
      <c r="F125" s="10">
        <v>7.3999999999999996E-2</v>
      </c>
      <c r="G125" s="10" t="s">
        <v>222</v>
      </c>
      <c r="H125" s="10" t="s">
        <v>125</v>
      </c>
      <c r="I125" s="10" t="s">
        <v>223</v>
      </c>
      <c r="J125" s="10" t="s">
        <v>105</v>
      </c>
    </row>
    <row r="126" spans="2:10" s="8" customFormat="1" ht="12.75">
      <c r="B126" s="54" t="s">
        <v>410</v>
      </c>
      <c r="C126" s="10">
        <v>0.33</v>
      </c>
      <c r="D126" s="10">
        <v>7.1999999999999995E-2</v>
      </c>
      <c r="E126" s="10">
        <v>0.19600000000000001</v>
      </c>
      <c r="F126" s="10">
        <v>7.1999999999999995E-2</v>
      </c>
      <c r="G126" s="10" t="s">
        <v>224</v>
      </c>
      <c r="H126" s="10" t="s">
        <v>103</v>
      </c>
      <c r="I126" s="10" t="s">
        <v>114</v>
      </c>
      <c r="J126" s="10" t="s">
        <v>115</v>
      </c>
    </row>
    <row r="127" spans="2:10" s="8" customFormat="1" ht="12.75">
      <c r="B127" s="54" t="s">
        <v>411</v>
      </c>
      <c r="C127" s="10">
        <v>0.27</v>
      </c>
      <c r="D127" s="10">
        <v>7.1999999999999995E-2</v>
      </c>
      <c r="E127" s="10">
        <v>0.159</v>
      </c>
      <c r="F127" s="10">
        <v>7.1999999999999995E-2</v>
      </c>
      <c r="G127" s="10" t="s">
        <v>226</v>
      </c>
      <c r="H127" s="10" t="s">
        <v>145</v>
      </c>
      <c r="I127" s="10" t="s">
        <v>122</v>
      </c>
      <c r="J127" s="10" t="s">
        <v>123</v>
      </c>
    </row>
    <row r="128" spans="2:10" s="8" customFormat="1" ht="12.75">
      <c r="B128" s="54" t="s">
        <v>412</v>
      </c>
      <c r="C128" s="10">
        <v>0.21</v>
      </c>
      <c r="D128" s="10">
        <v>7.1999999999999995E-2</v>
      </c>
      <c r="E128" s="10">
        <v>0.127</v>
      </c>
      <c r="F128" s="10">
        <v>7.1999999999999995E-2</v>
      </c>
      <c r="G128" s="10" t="s">
        <v>230</v>
      </c>
      <c r="H128" s="10" t="s">
        <v>141</v>
      </c>
      <c r="I128" s="10" t="s">
        <v>133</v>
      </c>
      <c r="J128" s="10" t="s">
        <v>134</v>
      </c>
    </row>
    <row r="129" spans="2:10" s="8" customFormat="1" ht="12.75">
      <c r="B129" s="54" t="s">
        <v>413</v>
      </c>
      <c r="C129" s="10">
        <v>0.16</v>
      </c>
      <c r="D129" s="10">
        <v>7.1999999999999995E-2</v>
      </c>
      <c r="E129" s="10">
        <v>9.6500000000000002E-2</v>
      </c>
      <c r="F129" s="10">
        <v>7.1999999999999995E-2</v>
      </c>
      <c r="G129" s="10" t="s">
        <v>233</v>
      </c>
      <c r="H129" s="10" t="s">
        <v>234</v>
      </c>
      <c r="I129" s="10" t="s">
        <v>143</v>
      </c>
      <c r="J129" s="10" t="s">
        <v>144</v>
      </c>
    </row>
    <row r="130" spans="2:10" s="8" customFormat="1" ht="12.75">
      <c r="B130" s="54" t="s">
        <v>414</v>
      </c>
      <c r="C130" s="10">
        <v>0.13</v>
      </c>
      <c r="D130" s="10">
        <v>7.0999999999999994E-2</v>
      </c>
      <c r="E130" s="10">
        <v>7.6899999999999996E-2</v>
      </c>
      <c r="F130" s="10">
        <v>7.0999999999999994E-2</v>
      </c>
      <c r="G130" s="10" t="s">
        <v>239</v>
      </c>
      <c r="H130" s="10" t="s">
        <v>142</v>
      </c>
      <c r="I130" s="10" t="s">
        <v>151</v>
      </c>
      <c r="J130" s="10" t="s">
        <v>152</v>
      </c>
    </row>
    <row r="131" spans="2:10" s="8" customFormat="1" ht="12.75">
      <c r="B131" s="54" t="s">
        <v>415</v>
      </c>
      <c r="C131" s="10">
        <v>0.1</v>
      </c>
      <c r="D131" s="10">
        <v>7.0000000000000007E-2</v>
      </c>
      <c r="E131" s="10">
        <v>6.0199999999999997E-2</v>
      </c>
      <c r="F131" s="10">
        <v>7.0000000000000007E-2</v>
      </c>
      <c r="G131" s="10" t="s">
        <v>242</v>
      </c>
      <c r="H131" s="10" t="s">
        <v>150</v>
      </c>
      <c r="I131" s="10" t="s">
        <v>162</v>
      </c>
      <c r="J131" s="10" t="s">
        <v>163</v>
      </c>
    </row>
    <row r="132" spans="2:10" s="8" customFormat="1" ht="12.75">
      <c r="B132" s="54" t="s">
        <v>416</v>
      </c>
      <c r="C132" s="10">
        <v>0.1</v>
      </c>
      <c r="D132" s="10">
        <v>7.0000000000000007E-2</v>
      </c>
      <c r="E132" s="10">
        <v>6.0199999999999997E-2</v>
      </c>
      <c r="F132" s="10">
        <v>7.0000000000000007E-2</v>
      </c>
      <c r="G132" s="10" t="s">
        <v>247</v>
      </c>
      <c r="H132" s="10" t="s">
        <v>249</v>
      </c>
      <c r="I132" s="10" t="s">
        <v>172</v>
      </c>
      <c r="J132" s="10" t="s">
        <v>173</v>
      </c>
    </row>
    <row r="133" spans="2:10" s="8" customFormat="1" ht="12.75">
      <c r="B133" s="54" t="s">
        <v>417</v>
      </c>
      <c r="C133" s="10">
        <v>0.1</v>
      </c>
      <c r="D133" s="10">
        <v>7.0000000000000007E-2</v>
      </c>
      <c r="E133" s="10">
        <v>6.0199999999999997E-2</v>
      </c>
      <c r="F133" s="10">
        <v>7.0000000000000007E-2</v>
      </c>
      <c r="G133" s="10" t="s">
        <v>252</v>
      </c>
      <c r="H133" s="10" t="s">
        <v>253</v>
      </c>
      <c r="I133" s="10" t="s">
        <v>181</v>
      </c>
      <c r="J133" s="10" t="s">
        <v>182</v>
      </c>
    </row>
    <row r="134" spans="2:10" s="8" customFormat="1" ht="12.75">
      <c r="B134" s="54" t="s">
        <v>418</v>
      </c>
      <c r="C134" s="10" t="s">
        <v>19</v>
      </c>
      <c r="D134" s="10" t="s">
        <v>19</v>
      </c>
      <c r="E134" s="10" t="s">
        <v>19</v>
      </c>
      <c r="F134" s="10" t="s">
        <v>19</v>
      </c>
      <c r="G134" s="10" t="s">
        <v>19</v>
      </c>
      <c r="H134" s="10" t="s">
        <v>19</v>
      </c>
      <c r="I134" s="10" t="s">
        <v>19</v>
      </c>
      <c r="J134" s="10" t="s">
        <v>19</v>
      </c>
    </row>
    <row r="135" spans="2:10" s="8" customFormat="1" ht="12.75">
      <c r="B135" s="54" t="s">
        <v>419</v>
      </c>
      <c r="C135" s="10" t="s">
        <v>19</v>
      </c>
      <c r="D135" s="10" t="s">
        <v>19</v>
      </c>
      <c r="E135" s="10" t="s">
        <v>19</v>
      </c>
      <c r="F135" s="10" t="s">
        <v>19</v>
      </c>
      <c r="G135" s="10" t="s">
        <v>19</v>
      </c>
      <c r="H135" s="10" t="s">
        <v>19</v>
      </c>
      <c r="I135" s="10" t="s">
        <v>19</v>
      </c>
      <c r="J135" s="10" t="s">
        <v>19</v>
      </c>
    </row>
    <row r="136" spans="2:10" s="8" customFormat="1" ht="12.75">
      <c r="B136" s="54" t="s">
        <v>420</v>
      </c>
      <c r="C136" s="10">
        <v>1.581</v>
      </c>
      <c r="D136" s="10">
        <v>9.7000000000000003E-2</v>
      </c>
      <c r="E136" s="10">
        <v>1.581</v>
      </c>
      <c r="F136" s="10">
        <v>9.7000000000000003E-2</v>
      </c>
      <c r="G136" s="10" t="s">
        <v>200</v>
      </c>
      <c r="H136" s="10" t="s">
        <v>20</v>
      </c>
      <c r="I136" s="10" t="s">
        <v>26</v>
      </c>
      <c r="J136" s="10" t="s">
        <v>27</v>
      </c>
    </row>
    <row r="137" spans="2:10" s="8" customFormat="1" ht="12.75">
      <c r="B137" s="54" t="s">
        <v>421</v>
      </c>
      <c r="C137" s="10">
        <v>1.57</v>
      </c>
      <c r="D137" s="10">
        <v>9.7000000000000003E-2</v>
      </c>
      <c r="E137" s="10">
        <v>1.57</v>
      </c>
      <c r="F137" s="10">
        <v>9.7000000000000003E-2</v>
      </c>
      <c r="G137" s="10" t="s">
        <v>201</v>
      </c>
      <c r="H137" s="10" t="s">
        <v>202</v>
      </c>
      <c r="I137" s="10" t="s">
        <v>34</v>
      </c>
      <c r="J137" s="10" t="s">
        <v>35</v>
      </c>
    </row>
    <row r="138" spans="2:10" s="8" customFormat="1" ht="12.75">
      <c r="B138" s="54" t="s">
        <v>422</v>
      </c>
      <c r="C138" s="10">
        <v>1.55</v>
      </c>
      <c r="D138" s="10">
        <v>0.08</v>
      </c>
      <c r="E138" s="10">
        <v>1.55</v>
      </c>
      <c r="F138" s="10">
        <v>0.08</v>
      </c>
      <c r="G138" s="10" t="s">
        <v>204</v>
      </c>
      <c r="H138" s="10" t="s">
        <v>205</v>
      </c>
      <c r="I138" s="10" t="s">
        <v>43</v>
      </c>
      <c r="J138" s="10" t="s">
        <v>44</v>
      </c>
    </row>
    <row r="139" spans="2:10" s="8" customFormat="1" ht="12.75">
      <c r="B139" s="54" t="s">
        <v>423</v>
      </c>
      <c r="C139" s="10">
        <v>1.5569999999999999</v>
      </c>
      <c r="D139" s="10">
        <v>0.08</v>
      </c>
      <c r="E139" s="10">
        <v>1.5569999999999999</v>
      </c>
      <c r="F139" s="10">
        <v>0.08</v>
      </c>
      <c r="G139" s="10" t="s">
        <v>203</v>
      </c>
      <c r="H139" s="10" t="s">
        <v>46</v>
      </c>
      <c r="I139" s="10" t="s">
        <v>207</v>
      </c>
      <c r="J139" s="10" t="s">
        <v>208</v>
      </c>
    </row>
    <row r="140" spans="2:10" s="8" customFormat="1" ht="12.75">
      <c r="B140" s="54" t="s">
        <v>424</v>
      </c>
      <c r="C140" s="10">
        <v>1.54</v>
      </c>
      <c r="D140" s="10">
        <v>0.08</v>
      </c>
      <c r="E140" s="10">
        <v>0.93</v>
      </c>
      <c r="F140" s="10">
        <v>0.08</v>
      </c>
      <c r="G140" s="10" t="s">
        <v>59</v>
      </c>
      <c r="H140" s="10" t="s">
        <v>67</v>
      </c>
      <c r="I140" s="10" t="s">
        <v>210</v>
      </c>
      <c r="J140" s="10" t="s">
        <v>211</v>
      </c>
    </row>
    <row r="141" spans="2:10" s="8" customFormat="1" ht="12.75">
      <c r="B141" s="54" t="s">
        <v>425</v>
      </c>
      <c r="C141" s="10">
        <v>1.1100000000000001</v>
      </c>
      <c r="D141" s="10">
        <v>0.08</v>
      </c>
      <c r="E141" s="10">
        <v>0.67100000000000004</v>
      </c>
      <c r="F141" s="10">
        <v>0.08</v>
      </c>
      <c r="G141" s="10" t="s">
        <v>70</v>
      </c>
      <c r="H141" s="10" t="s">
        <v>72</v>
      </c>
      <c r="I141" s="10" t="s">
        <v>213</v>
      </c>
      <c r="J141" s="10" t="s">
        <v>214</v>
      </c>
    </row>
    <row r="142" spans="2:10" s="8" customFormat="1" ht="12.75">
      <c r="B142" s="54" t="s">
        <v>426</v>
      </c>
      <c r="C142" s="10">
        <v>0.82</v>
      </c>
      <c r="D142" s="10">
        <v>0.78</v>
      </c>
      <c r="E142" s="10">
        <v>0.495</v>
      </c>
      <c r="F142" s="10">
        <v>7.8E-2</v>
      </c>
      <c r="G142" s="10" t="s">
        <v>73</v>
      </c>
      <c r="H142" s="10" t="s">
        <v>87</v>
      </c>
      <c r="I142" s="10" t="s">
        <v>216</v>
      </c>
      <c r="J142" s="10" t="s">
        <v>217</v>
      </c>
    </row>
    <row r="143" spans="2:10" s="8" customFormat="1" ht="12.75">
      <c r="B143" s="54" t="s">
        <v>427</v>
      </c>
      <c r="C143" s="10">
        <v>0.56999999999999995</v>
      </c>
      <c r="D143" s="10">
        <v>7.6999999999999999E-2</v>
      </c>
      <c r="E143" s="10">
        <v>0.34300000000000003</v>
      </c>
      <c r="F143" s="10">
        <v>7.6999999999999999E-2</v>
      </c>
      <c r="G143" s="10" t="s">
        <v>220</v>
      </c>
      <c r="H143" s="10" t="s">
        <v>102</v>
      </c>
      <c r="I143" s="10" t="s">
        <v>221</v>
      </c>
      <c r="J143" s="10" t="s">
        <v>95</v>
      </c>
    </row>
    <row r="144" spans="2:10" s="8" customFormat="1" ht="12.75">
      <c r="B144" s="54" t="s">
        <v>428</v>
      </c>
      <c r="C144" s="10">
        <v>0.41</v>
      </c>
      <c r="D144" s="10">
        <v>7.3999999999999996E-2</v>
      </c>
      <c r="E144" s="10">
        <v>0.247</v>
      </c>
      <c r="F144" s="10">
        <v>7.3999999999999996E-2</v>
      </c>
      <c r="G144" s="10" t="s">
        <v>222</v>
      </c>
      <c r="H144" s="10" t="s">
        <v>125</v>
      </c>
      <c r="I144" s="10" t="s">
        <v>223</v>
      </c>
      <c r="J144" s="10" t="s">
        <v>105</v>
      </c>
    </row>
    <row r="145" spans="2:10" s="8" customFormat="1" ht="12.75">
      <c r="B145" s="54" t="s">
        <v>429</v>
      </c>
      <c r="C145" s="10">
        <v>0.33</v>
      </c>
      <c r="D145" s="10">
        <v>7.1999999999999995E-2</v>
      </c>
      <c r="E145" s="10">
        <v>0.19600000000000001</v>
      </c>
      <c r="F145" s="10">
        <v>7.1999999999999995E-2</v>
      </c>
      <c r="G145" s="10" t="s">
        <v>224</v>
      </c>
      <c r="H145" s="10" t="s">
        <v>103</v>
      </c>
      <c r="I145" s="10" t="s">
        <v>114</v>
      </c>
      <c r="J145" s="10" t="s">
        <v>115</v>
      </c>
    </row>
    <row r="146" spans="2:10" s="8" customFormat="1" ht="12.75">
      <c r="B146" s="54" t="s">
        <v>430</v>
      </c>
      <c r="C146" s="10">
        <v>0.27</v>
      </c>
      <c r="D146" s="10">
        <v>7.1999999999999995E-2</v>
      </c>
      <c r="E146" s="10">
        <v>0.159</v>
      </c>
      <c r="F146" s="10">
        <v>7.1999999999999995E-2</v>
      </c>
      <c r="G146" s="10" t="s">
        <v>226</v>
      </c>
      <c r="H146" s="10" t="s">
        <v>145</v>
      </c>
      <c r="I146" s="10" t="s">
        <v>122</v>
      </c>
      <c r="J146" s="10" t="s">
        <v>123</v>
      </c>
    </row>
    <row r="147" spans="2:10" s="8" customFormat="1" ht="12.75">
      <c r="B147" s="54" t="s">
        <v>431</v>
      </c>
      <c r="C147" s="10">
        <v>0.21</v>
      </c>
      <c r="D147" s="10">
        <v>7.1999999999999995E-2</v>
      </c>
      <c r="E147" s="10">
        <v>0.127</v>
      </c>
      <c r="F147" s="10">
        <v>7.1999999999999995E-2</v>
      </c>
      <c r="G147" s="10" t="s">
        <v>230</v>
      </c>
      <c r="H147" s="10" t="s">
        <v>141</v>
      </c>
      <c r="I147" s="10" t="s">
        <v>133</v>
      </c>
      <c r="J147" s="10" t="s">
        <v>134</v>
      </c>
    </row>
    <row r="148" spans="2:10" s="8" customFormat="1" ht="12.75">
      <c r="B148" s="54" t="s">
        <v>432</v>
      </c>
      <c r="C148" s="10">
        <v>0.16</v>
      </c>
      <c r="D148" s="10">
        <v>7.1999999999999995E-2</v>
      </c>
      <c r="E148" s="10">
        <v>9.6500000000000002E-2</v>
      </c>
      <c r="F148" s="10">
        <v>7.1999999999999995E-2</v>
      </c>
      <c r="G148" s="10" t="s">
        <v>233</v>
      </c>
      <c r="H148" s="10" t="s">
        <v>234</v>
      </c>
      <c r="I148" s="10" t="s">
        <v>143</v>
      </c>
      <c r="J148" s="10" t="s">
        <v>144</v>
      </c>
    </row>
    <row r="149" spans="2:10" s="8" customFormat="1" ht="12.75">
      <c r="B149" s="54" t="s">
        <v>433</v>
      </c>
      <c r="C149" s="10">
        <v>0.13</v>
      </c>
      <c r="D149" s="10">
        <v>7.0999999999999994E-2</v>
      </c>
      <c r="E149" s="10">
        <v>7.6899999999999996E-2</v>
      </c>
      <c r="F149" s="10">
        <v>7.0999999999999994E-2</v>
      </c>
      <c r="G149" s="10" t="s">
        <v>239</v>
      </c>
      <c r="H149" s="10" t="s">
        <v>142</v>
      </c>
      <c r="I149" s="10" t="s">
        <v>151</v>
      </c>
      <c r="J149" s="10" t="s">
        <v>152</v>
      </c>
    </row>
    <row r="150" spans="2:10" s="8" customFormat="1" ht="12.75">
      <c r="B150" s="54" t="s">
        <v>434</v>
      </c>
      <c r="C150" s="12">
        <v>0.1</v>
      </c>
      <c r="D150" s="12">
        <v>7.0000000000000007E-2</v>
      </c>
      <c r="E150" s="12">
        <v>6.0199999999999997E-2</v>
      </c>
      <c r="F150" s="12">
        <v>7.0000000000000007E-2</v>
      </c>
      <c r="G150" s="12" t="s">
        <v>242</v>
      </c>
      <c r="H150" s="12" t="s">
        <v>150</v>
      </c>
      <c r="I150" s="12" t="s">
        <v>162</v>
      </c>
      <c r="J150" s="12" t="s">
        <v>163</v>
      </c>
    </row>
    <row r="151" spans="2:10" s="8" customFormat="1" ht="12.75">
      <c r="B151" s="54" t="s">
        <v>435</v>
      </c>
      <c r="C151" s="12">
        <v>0.1</v>
      </c>
      <c r="D151" s="12">
        <v>7.0000000000000007E-2</v>
      </c>
      <c r="E151" s="12">
        <v>6.0199999999999997E-2</v>
      </c>
      <c r="F151" s="12">
        <v>7.0000000000000007E-2</v>
      </c>
      <c r="G151" s="12" t="s">
        <v>247</v>
      </c>
      <c r="H151" s="12" t="s">
        <v>249</v>
      </c>
      <c r="I151" s="12" t="s">
        <v>172</v>
      </c>
      <c r="J151" s="12" t="s">
        <v>173</v>
      </c>
    </row>
    <row r="152" spans="2:10" s="8" customFormat="1" ht="12.75">
      <c r="B152" s="54" t="s">
        <v>436</v>
      </c>
      <c r="C152" s="12">
        <v>0.1</v>
      </c>
      <c r="D152" s="12">
        <v>7.0000000000000007E-2</v>
      </c>
      <c r="E152" s="12">
        <v>6.0199999999999997E-2</v>
      </c>
      <c r="F152" s="12">
        <v>7.0000000000000007E-2</v>
      </c>
      <c r="G152" s="12" t="s">
        <v>252</v>
      </c>
      <c r="H152" s="12" t="s">
        <v>253</v>
      </c>
      <c r="I152" s="12" t="s">
        <v>181</v>
      </c>
      <c r="J152" s="12" t="s">
        <v>182</v>
      </c>
    </row>
    <row r="153" spans="2:10" s="8" customFormat="1" ht="12.75">
      <c r="B153" s="54" t="s">
        <v>437</v>
      </c>
      <c r="C153" s="12" t="s">
        <v>19</v>
      </c>
      <c r="D153" s="12" t="s">
        <v>19</v>
      </c>
      <c r="E153" s="12" t="s">
        <v>19</v>
      </c>
      <c r="F153" s="12" t="s">
        <v>19</v>
      </c>
      <c r="G153" s="12" t="s">
        <v>19</v>
      </c>
      <c r="H153" s="12" t="s">
        <v>19</v>
      </c>
      <c r="I153" s="12" t="s">
        <v>19</v>
      </c>
      <c r="J153" s="12" t="s">
        <v>19</v>
      </c>
    </row>
    <row r="154" spans="2:10" s="8" customFormat="1" ht="12.75">
      <c r="B154" s="54" t="s">
        <v>438</v>
      </c>
      <c r="C154" s="12">
        <v>1.54</v>
      </c>
      <c r="D154" s="12">
        <v>0.08</v>
      </c>
      <c r="E154" s="12">
        <v>0.93</v>
      </c>
      <c r="F154" s="12">
        <v>0.08</v>
      </c>
      <c r="G154" s="12" t="s">
        <v>59</v>
      </c>
      <c r="H154" s="12" t="s">
        <v>67</v>
      </c>
      <c r="I154" s="12" t="s">
        <v>210</v>
      </c>
      <c r="J154" s="12" t="s">
        <v>211</v>
      </c>
    </row>
    <row r="155" spans="2:10" s="8" customFormat="1" ht="12.75">
      <c r="B155" s="54" t="s">
        <v>439</v>
      </c>
      <c r="C155" s="12">
        <v>1.1100000000000001</v>
      </c>
      <c r="D155" s="12">
        <v>0.08</v>
      </c>
      <c r="E155" s="12">
        <v>0.67100000000000004</v>
      </c>
      <c r="F155" s="12">
        <v>0.08</v>
      </c>
      <c r="G155" s="12" t="s">
        <v>70</v>
      </c>
      <c r="H155" s="12" t="s">
        <v>72</v>
      </c>
      <c r="I155" s="12" t="s">
        <v>213</v>
      </c>
      <c r="J155" s="12" t="s">
        <v>214</v>
      </c>
    </row>
    <row r="156" spans="2:10" s="8" customFormat="1" ht="12.75">
      <c r="B156" s="54" t="s">
        <v>440</v>
      </c>
      <c r="C156" s="12">
        <v>0.82</v>
      </c>
      <c r="D156" s="12">
        <v>7.8E-2</v>
      </c>
      <c r="E156" s="12">
        <v>4.9500000000000002E-2</v>
      </c>
      <c r="F156" s="12">
        <v>7.8E-2</v>
      </c>
      <c r="G156" s="12" t="s">
        <v>73</v>
      </c>
      <c r="H156" s="12" t="s">
        <v>87</v>
      </c>
      <c r="I156" s="12" t="s">
        <v>216</v>
      </c>
      <c r="J156" s="12" t="s">
        <v>217</v>
      </c>
    </row>
    <row r="157" spans="2:10" s="8" customFormat="1" ht="12.75">
      <c r="B157" s="54" t="s">
        <v>441</v>
      </c>
      <c r="C157" s="12">
        <v>0.56999999999999995</v>
      </c>
      <c r="D157" s="12">
        <v>7.6999999999999999E-2</v>
      </c>
      <c r="E157" s="12">
        <v>0.34300000000000003</v>
      </c>
      <c r="F157" s="12">
        <v>7.6999999999999999E-2</v>
      </c>
      <c r="G157" s="12" t="s">
        <v>220</v>
      </c>
      <c r="H157" s="12" t="s">
        <v>102</v>
      </c>
      <c r="I157" s="12" t="s">
        <v>221</v>
      </c>
      <c r="J157" s="12" t="s">
        <v>95</v>
      </c>
    </row>
    <row r="158" spans="2:10" s="8" customFormat="1" ht="12.75">
      <c r="B158" s="54" t="s">
        <v>442</v>
      </c>
      <c r="C158" s="12">
        <v>0.41</v>
      </c>
      <c r="D158" s="12">
        <v>7.3999999999999996E-2</v>
      </c>
      <c r="E158" s="12">
        <v>0.247</v>
      </c>
      <c r="F158" s="12">
        <v>7.3999999999999996E-2</v>
      </c>
      <c r="G158" s="12" t="s">
        <v>222</v>
      </c>
      <c r="H158" s="12" t="s">
        <v>125</v>
      </c>
      <c r="I158" s="12" t="s">
        <v>223</v>
      </c>
      <c r="J158" s="12" t="s">
        <v>105</v>
      </c>
    </row>
    <row r="159" spans="2:10" s="8" customFormat="1" ht="12.75">
      <c r="B159" s="54" t="s">
        <v>443</v>
      </c>
      <c r="C159" s="12">
        <v>0.33</v>
      </c>
      <c r="D159" s="12">
        <v>7.1999999999999995E-2</v>
      </c>
      <c r="E159" s="12">
        <v>0.19600000000000001</v>
      </c>
      <c r="F159" s="12">
        <v>7.1999999999999995E-2</v>
      </c>
      <c r="G159" s="12" t="s">
        <v>224</v>
      </c>
      <c r="H159" s="12" t="s">
        <v>103</v>
      </c>
      <c r="I159" s="12" t="s">
        <v>114</v>
      </c>
      <c r="J159" s="12" t="s">
        <v>115</v>
      </c>
    </row>
    <row r="160" spans="2:10" s="8" customFormat="1" ht="12.75">
      <c r="B160" s="54" t="s">
        <v>444</v>
      </c>
      <c r="C160" s="12">
        <v>0.27</v>
      </c>
      <c r="D160" s="12">
        <v>7.1999999999999995E-2</v>
      </c>
      <c r="E160" s="12">
        <v>0.159</v>
      </c>
      <c r="F160" s="12">
        <v>7.1999999999999995E-2</v>
      </c>
      <c r="G160" s="12" t="s">
        <v>226</v>
      </c>
      <c r="H160" s="12" t="s">
        <v>145</v>
      </c>
      <c r="I160" s="12" t="s">
        <v>122</v>
      </c>
      <c r="J160" s="12" t="s">
        <v>123</v>
      </c>
    </row>
    <row r="161" spans="2:10" s="8" customFormat="1" ht="12.75">
      <c r="B161" s="54" t="s">
        <v>445</v>
      </c>
      <c r="C161" s="12">
        <v>0.21</v>
      </c>
      <c r="D161" s="12">
        <v>7.1999999999999995E-2</v>
      </c>
      <c r="E161" s="12">
        <v>0.127</v>
      </c>
      <c r="F161" s="12">
        <v>7.1999999999999995E-2</v>
      </c>
      <c r="G161" s="12" t="s">
        <v>230</v>
      </c>
      <c r="H161" s="12" t="s">
        <v>141</v>
      </c>
      <c r="I161" s="12" t="s">
        <v>133</v>
      </c>
      <c r="J161" s="12" t="s">
        <v>134</v>
      </c>
    </row>
    <row r="162" spans="2:10" s="8" customFormat="1" ht="12.75">
      <c r="B162" s="54" t="s">
        <v>446</v>
      </c>
      <c r="C162" s="12">
        <v>0.16</v>
      </c>
      <c r="D162" s="12">
        <v>7.1999999999999995E-2</v>
      </c>
      <c r="E162" s="12">
        <v>9.6500000000000002E-2</v>
      </c>
      <c r="F162" s="12">
        <v>7.1999999999999995E-2</v>
      </c>
      <c r="G162" s="12" t="s">
        <v>233</v>
      </c>
      <c r="H162" s="12" t="s">
        <v>234</v>
      </c>
      <c r="I162" s="12" t="s">
        <v>143</v>
      </c>
      <c r="J162" s="12" t="s">
        <v>144</v>
      </c>
    </row>
    <row r="163" spans="2:10" s="8" customFormat="1" ht="12.75">
      <c r="B163" s="54" t="s">
        <v>447</v>
      </c>
      <c r="C163" s="12">
        <v>0.13</v>
      </c>
      <c r="D163" s="12">
        <v>7.0999999999999994E-2</v>
      </c>
      <c r="E163" s="12">
        <v>7.6899999999999996E-2</v>
      </c>
      <c r="F163" s="12">
        <v>7.0999999999999994E-2</v>
      </c>
      <c r="G163" s="12" t="s">
        <v>239</v>
      </c>
      <c r="H163" s="12" t="s">
        <v>142</v>
      </c>
      <c r="I163" s="12" t="s">
        <v>151</v>
      </c>
      <c r="J163" s="12" t="s">
        <v>152</v>
      </c>
    </row>
    <row r="164" spans="2:10" s="8" customFormat="1" ht="12.75">
      <c r="B164" s="54" t="s">
        <v>448</v>
      </c>
      <c r="C164" s="12">
        <v>0.1</v>
      </c>
      <c r="D164" s="12">
        <v>7.0000000000000007E-2</v>
      </c>
      <c r="E164" s="12">
        <v>6.0199999999999997E-2</v>
      </c>
      <c r="F164" s="12">
        <v>7.0000000000000007E-2</v>
      </c>
      <c r="G164" s="12" t="s">
        <v>242</v>
      </c>
      <c r="H164" s="12" t="s">
        <v>150</v>
      </c>
      <c r="I164" s="12" t="s">
        <v>162</v>
      </c>
      <c r="J164" s="12" t="s">
        <v>163</v>
      </c>
    </row>
    <row r="165" spans="2:10" s="8" customFormat="1" ht="12.75">
      <c r="B165" s="54" t="s">
        <v>449</v>
      </c>
      <c r="C165" s="12">
        <v>0.1</v>
      </c>
      <c r="D165" s="12">
        <v>7.0000000000000007E-2</v>
      </c>
      <c r="E165" s="12">
        <v>6.0199999999999997E-2</v>
      </c>
      <c r="F165" s="12">
        <v>7.0000000000000007E-2</v>
      </c>
      <c r="G165" s="12" t="s">
        <v>247</v>
      </c>
      <c r="H165" s="12" t="s">
        <v>249</v>
      </c>
      <c r="I165" s="12" t="s">
        <v>172</v>
      </c>
      <c r="J165" s="12" t="s">
        <v>173</v>
      </c>
    </row>
    <row r="166" spans="2:10" s="8" customFormat="1" ht="12.75">
      <c r="B166" s="54" t="s">
        <v>450</v>
      </c>
      <c r="C166" s="12">
        <v>0.1</v>
      </c>
      <c r="D166" s="12">
        <v>7.0000000000000007E-2</v>
      </c>
      <c r="E166" s="12">
        <v>6.0199999999999997E-2</v>
      </c>
      <c r="F166" s="12">
        <v>7.0000000000000007E-2</v>
      </c>
      <c r="G166" s="12" t="s">
        <v>252</v>
      </c>
      <c r="H166" s="12" t="s">
        <v>253</v>
      </c>
      <c r="I166" s="12" t="s">
        <v>181</v>
      </c>
      <c r="J166" s="12" t="s">
        <v>182</v>
      </c>
    </row>
    <row r="167" spans="2:10" s="8" customFormat="1" ht="12.75">
      <c r="B167" s="54" t="s">
        <v>451</v>
      </c>
      <c r="C167" s="12" t="s">
        <v>19</v>
      </c>
      <c r="D167" s="12" t="s">
        <v>19</v>
      </c>
      <c r="E167" s="12" t="s">
        <v>19</v>
      </c>
      <c r="F167" s="12" t="s">
        <v>19</v>
      </c>
      <c r="G167" s="12" t="s">
        <v>19</v>
      </c>
      <c r="H167" s="12" t="s">
        <v>19</v>
      </c>
      <c r="I167" s="12" t="s">
        <v>19</v>
      </c>
      <c r="J167" s="12" t="s">
        <v>19</v>
      </c>
    </row>
    <row r="168" spans="2:10" s="8" customFormat="1" ht="12.75">
      <c r="B168" s="54" t="s">
        <v>452</v>
      </c>
      <c r="C168" s="12" t="s">
        <v>19</v>
      </c>
      <c r="D168" s="12" t="s">
        <v>19</v>
      </c>
      <c r="E168" s="12" t="s">
        <v>19</v>
      </c>
      <c r="F168" s="12" t="s">
        <v>19</v>
      </c>
      <c r="G168" s="12" t="s">
        <v>19</v>
      </c>
      <c r="H168" s="12" t="s">
        <v>19</v>
      </c>
      <c r="I168" s="12" t="s">
        <v>19</v>
      </c>
      <c r="J168" s="12" t="s">
        <v>19</v>
      </c>
    </row>
    <row r="169" spans="2:10" s="8" customFormat="1" ht="12.75">
      <c r="B169" s="54" t="s">
        <v>453</v>
      </c>
      <c r="C169" s="12">
        <v>5.53</v>
      </c>
      <c r="D169" s="12">
        <v>0.11</v>
      </c>
      <c r="E169" s="12">
        <v>3.69</v>
      </c>
      <c r="F169" s="12">
        <v>0.11</v>
      </c>
      <c r="G169" s="12" t="s">
        <v>200</v>
      </c>
      <c r="H169" s="12" t="s">
        <v>20</v>
      </c>
      <c r="I169" s="12" t="s">
        <v>26</v>
      </c>
      <c r="J169" s="12" t="s">
        <v>27</v>
      </c>
    </row>
    <row r="170" spans="2:10" s="8" customFormat="1" ht="12.75">
      <c r="B170" s="54" t="s">
        <v>454</v>
      </c>
      <c r="C170" s="12">
        <v>3.7</v>
      </c>
      <c r="D170" s="12">
        <v>0.1</v>
      </c>
      <c r="E170" s="12">
        <v>2.19</v>
      </c>
      <c r="F170" s="12">
        <v>0.1</v>
      </c>
      <c r="G170" s="12" t="s">
        <v>201</v>
      </c>
      <c r="H170" s="12" t="s">
        <v>202</v>
      </c>
      <c r="I170" s="12" t="s">
        <v>34</v>
      </c>
      <c r="J170" s="12" t="s">
        <v>35</v>
      </c>
    </row>
    <row r="171" spans="2:10" s="8" customFormat="1" ht="12.75">
      <c r="B171" s="54" t="s">
        <v>455</v>
      </c>
      <c r="C171" s="12">
        <v>2.29</v>
      </c>
      <c r="D171" s="12">
        <v>9.7000000000000003E-2</v>
      </c>
      <c r="E171" s="12">
        <v>1.38</v>
      </c>
      <c r="F171" s="12">
        <v>9.7000000000000003E-2</v>
      </c>
      <c r="G171" s="12" t="s">
        <v>204</v>
      </c>
      <c r="H171" s="12" t="s">
        <v>205</v>
      </c>
      <c r="I171" s="12" t="s">
        <v>43</v>
      </c>
      <c r="J171" s="12" t="s">
        <v>44</v>
      </c>
    </row>
    <row r="172" spans="2:10" s="8" customFormat="1" ht="12.75">
      <c r="B172" s="54" t="s">
        <v>456</v>
      </c>
      <c r="C172" s="12">
        <v>2.4500000000000002</v>
      </c>
      <c r="D172" s="12">
        <v>0.08</v>
      </c>
      <c r="E172" s="12">
        <v>1.47</v>
      </c>
      <c r="F172" s="12">
        <v>0.08</v>
      </c>
      <c r="G172" s="12" t="s">
        <v>203</v>
      </c>
      <c r="H172" s="12" t="s">
        <v>46</v>
      </c>
      <c r="I172" s="12" t="s">
        <v>207</v>
      </c>
      <c r="J172" s="12" t="s">
        <v>208</v>
      </c>
    </row>
    <row r="173" spans="2:10" s="8" customFormat="1" ht="12.75">
      <c r="B173" s="54" t="s">
        <v>457</v>
      </c>
      <c r="C173" s="12">
        <v>1.54</v>
      </c>
      <c r="D173" s="12">
        <v>0.08</v>
      </c>
      <c r="E173" s="12">
        <v>0.93</v>
      </c>
      <c r="F173" s="12">
        <v>0.08</v>
      </c>
      <c r="G173" s="12" t="s">
        <v>59</v>
      </c>
      <c r="H173" s="12" t="s">
        <v>67</v>
      </c>
      <c r="I173" s="12" t="s">
        <v>210</v>
      </c>
      <c r="J173" s="12" t="s">
        <v>211</v>
      </c>
    </row>
    <row r="174" spans="2:10" s="8" customFormat="1" ht="12.75">
      <c r="B174" s="54" t="s">
        <v>458</v>
      </c>
      <c r="C174" s="12">
        <v>1.1100000000000001</v>
      </c>
      <c r="D174" s="12">
        <v>0.08</v>
      </c>
      <c r="E174" s="12">
        <v>0.67100000000000004</v>
      </c>
      <c r="F174" s="12">
        <v>0.08</v>
      </c>
      <c r="G174" s="12" t="s">
        <v>70</v>
      </c>
      <c r="H174" s="12" t="s">
        <v>72</v>
      </c>
      <c r="I174" s="12" t="s">
        <v>213</v>
      </c>
      <c r="J174" s="12" t="s">
        <v>214</v>
      </c>
    </row>
    <row r="175" spans="2:10" s="8" customFormat="1" ht="12.75">
      <c r="B175" s="54" t="s">
        <v>459</v>
      </c>
      <c r="C175" s="12">
        <v>8.2000000000000003E-2</v>
      </c>
      <c r="D175" s="12">
        <v>7.8E-2</v>
      </c>
      <c r="E175" s="12">
        <v>0.495</v>
      </c>
      <c r="F175" s="12">
        <v>7.8E-2</v>
      </c>
      <c r="G175" s="12" t="s">
        <v>73</v>
      </c>
      <c r="H175" s="12" t="s">
        <v>87</v>
      </c>
      <c r="I175" s="12" t="s">
        <v>216</v>
      </c>
      <c r="J175" s="12" t="s">
        <v>217</v>
      </c>
    </row>
    <row r="176" spans="2:10" s="8" customFormat="1" ht="12.75">
      <c r="B176" s="54" t="s">
        <v>460</v>
      </c>
      <c r="C176" s="12">
        <v>0.56999999999999995</v>
      </c>
      <c r="D176" s="12">
        <v>7.6999999999999999E-2</v>
      </c>
      <c r="E176" s="12">
        <v>0.34300000000000003</v>
      </c>
      <c r="F176" s="12">
        <v>7.6999999999999999E-2</v>
      </c>
      <c r="G176" s="12" t="s">
        <v>220</v>
      </c>
      <c r="H176" s="12" t="s">
        <v>102</v>
      </c>
      <c r="I176" s="12" t="s">
        <v>221</v>
      </c>
      <c r="J176" s="12" t="s">
        <v>95</v>
      </c>
    </row>
    <row r="177" spans="2:10" s="8" customFormat="1" ht="12.75">
      <c r="B177" s="54" t="s">
        <v>461</v>
      </c>
      <c r="C177" s="12">
        <v>0.41</v>
      </c>
      <c r="D177" s="12">
        <v>7.3999999999999996E-2</v>
      </c>
      <c r="E177" s="12">
        <v>0.247</v>
      </c>
      <c r="F177" s="12">
        <v>7.3999999999999996E-2</v>
      </c>
      <c r="G177" s="12" t="s">
        <v>222</v>
      </c>
      <c r="H177" s="12" t="s">
        <v>125</v>
      </c>
      <c r="I177" s="12" t="s">
        <v>223</v>
      </c>
      <c r="J177" s="12" t="s">
        <v>105</v>
      </c>
    </row>
    <row r="178" spans="2:10" s="8" customFormat="1" ht="12.75">
      <c r="B178" s="54" t="s">
        <v>462</v>
      </c>
      <c r="C178" s="12">
        <v>0.33</v>
      </c>
      <c r="D178" s="12">
        <v>7.1999999999999995E-2</v>
      </c>
      <c r="E178" s="12">
        <v>0.19600000000000001</v>
      </c>
      <c r="F178" s="12">
        <v>7.1999999999999995E-2</v>
      </c>
      <c r="G178" s="12" t="s">
        <v>224</v>
      </c>
      <c r="H178" s="12" t="s">
        <v>103</v>
      </c>
      <c r="I178" s="12" t="s">
        <v>114</v>
      </c>
      <c r="J178" s="12" t="s">
        <v>115</v>
      </c>
    </row>
    <row r="179" spans="2:10" s="8" customFormat="1" ht="12.75">
      <c r="B179" s="54" t="s">
        <v>463</v>
      </c>
      <c r="C179" s="12">
        <v>0.27</v>
      </c>
      <c r="D179" s="12">
        <v>7.1999999999999995E-2</v>
      </c>
      <c r="E179" s="12">
        <v>0.159</v>
      </c>
      <c r="F179" s="12">
        <v>7.1999999999999995E-2</v>
      </c>
      <c r="G179" s="12" t="s">
        <v>226</v>
      </c>
      <c r="H179" s="12" t="s">
        <v>145</v>
      </c>
      <c r="I179" s="12" t="s">
        <v>122</v>
      </c>
      <c r="J179" s="12" t="s">
        <v>123</v>
      </c>
    </row>
    <row r="180" spans="2:10" s="8" customFormat="1" ht="12.75">
      <c r="B180" s="54" t="s">
        <v>464</v>
      </c>
      <c r="C180" s="12">
        <v>0.21</v>
      </c>
      <c r="D180" s="12">
        <v>7.1999999999999995E-2</v>
      </c>
      <c r="E180" s="12">
        <v>0.127</v>
      </c>
      <c r="F180" s="12">
        <v>7.1999999999999995E-2</v>
      </c>
      <c r="G180" s="12" t="s">
        <v>230</v>
      </c>
      <c r="H180" s="12" t="s">
        <v>141</v>
      </c>
      <c r="I180" s="12" t="s">
        <v>133</v>
      </c>
      <c r="J180" s="12" t="s">
        <v>134</v>
      </c>
    </row>
    <row r="181" spans="2:10" s="8" customFormat="1" ht="12.75">
      <c r="B181" s="54" t="s">
        <v>465</v>
      </c>
      <c r="C181" s="12">
        <v>0.16</v>
      </c>
      <c r="D181" s="12">
        <v>7.1999999999999995E-2</v>
      </c>
      <c r="E181" s="12">
        <v>9.6500000000000002E-2</v>
      </c>
      <c r="F181" s="12">
        <v>7.1999999999999995E-2</v>
      </c>
      <c r="G181" s="12" t="s">
        <v>233</v>
      </c>
      <c r="H181" s="12" t="s">
        <v>234</v>
      </c>
      <c r="I181" s="12" t="s">
        <v>143</v>
      </c>
      <c r="J181" s="12" t="s">
        <v>144</v>
      </c>
    </row>
    <row r="182" spans="2:10" s="8" customFormat="1" ht="12.75">
      <c r="B182" s="54" t="s">
        <v>466</v>
      </c>
      <c r="C182" s="12">
        <v>0.13</v>
      </c>
      <c r="D182" s="12">
        <v>7.0999999999999994E-2</v>
      </c>
      <c r="E182" s="12">
        <v>7.6899999999999996E-2</v>
      </c>
      <c r="F182" s="12">
        <v>7.0999999999999994E-2</v>
      </c>
      <c r="G182" s="12" t="s">
        <v>239</v>
      </c>
      <c r="H182" s="12" t="s">
        <v>142</v>
      </c>
      <c r="I182" s="12" t="s">
        <v>151</v>
      </c>
      <c r="J182" s="12" t="s">
        <v>152</v>
      </c>
    </row>
    <row r="183" spans="2:10" s="8" customFormat="1" ht="12.75">
      <c r="B183" s="54" t="s">
        <v>467</v>
      </c>
      <c r="C183" s="12">
        <v>0.1</v>
      </c>
      <c r="D183" s="12">
        <v>7.0000000000000007E-2</v>
      </c>
      <c r="E183" s="12">
        <v>6.0199999999999997E-2</v>
      </c>
      <c r="F183" s="12">
        <v>7.0000000000000007E-2</v>
      </c>
      <c r="G183" s="12" t="s">
        <v>242</v>
      </c>
      <c r="H183" s="12" t="s">
        <v>150</v>
      </c>
      <c r="I183" s="12" t="s">
        <v>162</v>
      </c>
      <c r="J183" s="12" t="s">
        <v>163</v>
      </c>
    </row>
    <row r="184" spans="2:10" s="8" customFormat="1" ht="12.75">
      <c r="B184" s="54" t="s">
        <v>468</v>
      </c>
      <c r="C184" s="12">
        <v>0.1</v>
      </c>
      <c r="D184" s="12">
        <v>7.0000000000000007E-2</v>
      </c>
      <c r="E184" s="12">
        <v>6.0199999999999997E-2</v>
      </c>
      <c r="F184" s="12">
        <v>7.0000000000000007E-2</v>
      </c>
      <c r="G184" s="12" t="s">
        <v>247</v>
      </c>
      <c r="H184" s="12" t="s">
        <v>249</v>
      </c>
      <c r="I184" s="12" t="s">
        <v>172</v>
      </c>
      <c r="J184" s="12" t="s">
        <v>173</v>
      </c>
    </row>
    <row r="185" spans="2:10" s="8" customFormat="1" ht="12.75">
      <c r="B185" s="54" t="s">
        <v>469</v>
      </c>
      <c r="C185" s="12">
        <v>0.1</v>
      </c>
      <c r="D185" s="12">
        <v>7.0000000000000007E-2</v>
      </c>
      <c r="E185" s="12">
        <v>6.0199999999999997E-2</v>
      </c>
      <c r="F185" s="12">
        <v>7.0000000000000007E-2</v>
      </c>
      <c r="G185" s="12" t="s">
        <v>252</v>
      </c>
      <c r="H185" s="12" t="s">
        <v>253</v>
      </c>
      <c r="I185" s="12" t="s">
        <v>181</v>
      </c>
      <c r="J185" s="12" t="s">
        <v>182</v>
      </c>
    </row>
    <row r="186" spans="2:10" s="8" customFormat="1" ht="12.75">
      <c r="C186" s="49"/>
      <c r="D186" s="49"/>
      <c r="E186" s="15"/>
      <c r="F186" s="15"/>
      <c r="G186" s="15"/>
      <c r="H186" s="15"/>
      <c r="I186" s="15"/>
      <c r="J186" s="15"/>
    </row>
    <row r="187" spans="2:10" s="8" customFormat="1" ht="12.75">
      <c r="B187" s="54" t="s">
        <v>470</v>
      </c>
      <c r="C187" s="10">
        <v>1.1000000000000001</v>
      </c>
      <c r="D187" s="10">
        <v>0.129</v>
      </c>
      <c r="E187" s="10">
        <v>1.1000000000000001</v>
      </c>
      <c r="F187" s="10">
        <v>0.129</v>
      </c>
      <c r="G187" s="10" t="s">
        <v>77</v>
      </c>
      <c r="H187" s="10" t="s">
        <v>72</v>
      </c>
      <c r="I187" s="10" t="s">
        <v>210</v>
      </c>
      <c r="J187" s="10" t="s">
        <v>211</v>
      </c>
    </row>
    <row r="188" spans="2:10" s="8" customFormat="1" ht="12.75">
      <c r="B188" s="54" t="s">
        <v>471</v>
      </c>
      <c r="C188" s="10">
        <v>1.1000000000000001</v>
      </c>
      <c r="D188" s="10">
        <v>0.129</v>
      </c>
      <c r="E188" s="10">
        <v>1.1000000000000001</v>
      </c>
      <c r="F188" s="10">
        <v>0.129</v>
      </c>
      <c r="G188" s="10" t="s">
        <v>63</v>
      </c>
      <c r="H188" s="10" t="s">
        <v>83</v>
      </c>
      <c r="I188" s="10" t="s">
        <v>213</v>
      </c>
      <c r="J188" s="10" t="s">
        <v>276</v>
      </c>
    </row>
    <row r="189" spans="2:10" s="8" customFormat="1" ht="12.75">
      <c r="B189" s="54" t="s">
        <v>472</v>
      </c>
      <c r="C189" s="10">
        <v>0.82199999999999995</v>
      </c>
      <c r="D189" s="10">
        <v>0.1293</v>
      </c>
      <c r="E189" s="10">
        <v>0.82199999999999995</v>
      </c>
      <c r="F189" s="10">
        <v>0.1293</v>
      </c>
      <c r="G189" s="10" t="s">
        <v>82</v>
      </c>
      <c r="H189" s="10" t="s">
        <v>96</v>
      </c>
      <c r="I189" s="10" t="s">
        <v>216</v>
      </c>
      <c r="J189" s="10" t="s">
        <v>217</v>
      </c>
    </row>
    <row r="190" spans="2:10" s="8" customFormat="1" ht="12.75">
      <c r="B190" s="54" t="s">
        <v>473</v>
      </c>
      <c r="C190" s="10">
        <v>0.56799999999999995</v>
      </c>
      <c r="D190" s="10">
        <v>0.1195</v>
      </c>
      <c r="E190" s="10">
        <v>0.56799999999999995</v>
      </c>
      <c r="F190" s="10">
        <v>0.1195</v>
      </c>
      <c r="G190" s="10" t="s">
        <v>84</v>
      </c>
      <c r="H190" s="10" t="s">
        <v>154</v>
      </c>
      <c r="I190" s="10" t="s">
        <v>221</v>
      </c>
      <c r="J190" s="10" t="s">
        <v>95</v>
      </c>
    </row>
    <row r="191" spans="2:10" s="8" customFormat="1" ht="12.75">
      <c r="B191" s="54" t="s">
        <v>474</v>
      </c>
      <c r="C191" s="10">
        <v>0.41099999999999998</v>
      </c>
      <c r="D191" s="10">
        <v>0.113</v>
      </c>
      <c r="E191" s="10">
        <v>0.41099999999999998</v>
      </c>
      <c r="F191" s="10">
        <v>0.113</v>
      </c>
      <c r="G191" s="10" t="s">
        <v>127</v>
      </c>
      <c r="H191" s="10" t="s">
        <v>139</v>
      </c>
      <c r="I191" s="10" t="s">
        <v>223</v>
      </c>
      <c r="J191" s="10" t="s">
        <v>105</v>
      </c>
    </row>
    <row r="192" spans="2:10" s="8" customFormat="1" ht="12.75">
      <c r="B192" s="54" t="s">
        <v>475</v>
      </c>
      <c r="C192" s="10">
        <v>0.32500000000000001</v>
      </c>
      <c r="D192" s="10">
        <v>0.1085</v>
      </c>
      <c r="E192" s="10">
        <v>0.32500000000000001</v>
      </c>
      <c r="F192" s="10">
        <v>0.1085</v>
      </c>
      <c r="G192" s="10" t="s">
        <v>126</v>
      </c>
      <c r="H192" s="10" t="s">
        <v>148</v>
      </c>
      <c r="I192" s="10" t="s">
        <v>114</v>
      </c>
      <c r="J192" s="10" t="s">
        <v>115</v>
      </c>
    </row>
    <row r="193" spans="2:10" s="8" customFormat="1" ht="12.75">
      <c r="B193" s="54" t="s">
        <v>476</v>
      </c>
      <c r="C193" s="10">
        <v>0.26500000000000001</v>
      </c>
      <c r="D193" s="10">
        <v>0.1062</v>
      </c>
      <c r="E193" s="10">
        <v>0.26500000000000001</v>
      </c>
      <c r="F193" s="10">
        <v>0.1062</v>
      </c>
      <c r="G193" s="10" t="s">
        <v>135</v>
      </c>
      <c r="H193" s="10" t="s">
        <v>244</v>
      </c>
      <c r="I193" s="10" t="s">
        <v>122</v>
      </c>
      <c r="J193" s="10" t="s">
        <v>123</v>
      </c>
    </row>
    <row r="194" spans="2:10" s="8" customFormat="1" ht="12.75">
      <c r="B194" s="54" t="s">
        <v>477</v>
      </c>
      <c r="C194" s="10">
        <v>0.21099999999999999</v>
      </c>
      <c r="D194" s="10">
        <v>0.10249999999999999</v>
      </c>
      <c r="E194" s="10">
        <v>0.21099999999999999</v>
      </c>
      <c r="F194" s="10">
        <v>0.10249999999999999</v>
      </c>
      <c r="G194" s="10" t="s">
        <v>277</v>
      </c>
      <c r="H194" s="10" t="s">
        <v>234</v>
      </c>
      <c r="I194" s="10" t="s">
        <v>133</v>
      </c>
      <c r="J194" s="10" t="s">
        <v>134</v>
      </c>
    </row>
    <row r="195" spans="2:10" s="8" customFormat="1" ht="12.75">
      <c r="B195" s="54" t="s">
        <v>478</v>
      </c>
      <c r="C195" s="10">
        <v>0.161</v>
      </c>
      <c r="D195" s="10">
        <v>0.1011</v>
      </c>
      <c r="E195" s="10">
        <v>0.161</v>
      </c>
      <c r="F195" s="10">
        <v>0.1011</v>
      </c>
      <c r="G195" s="10" t="s">
        <v>174</v>
      </c>
      <c r="H195" s="10" t="s">
        <v>278</v>
      </c>
      <c r="I195" s="10" t="s">
        <v>143</v>
      </c>
      <c r="J195" s="10" t="s">
        <v>144</v>
      </c>
    </row>
    <row r="196" spans="2:10" s="8" customFormat="1" ht="12.75">
      <c r="B196" s="54" t="s">
        <v>479</v>
      </c>
      <c r="C196" s="10">
        <v>0.13</v>
      </c>
      <c r="D196" s="10">
        <v>9.8799999999999999E-2</v>
      </c>
      <c r="E196" s="10">
        <v>0.13</v>
      </c>
      <c r="F196" s="10">
        <v>9.8799999999999999E-2</v>
      </c>
      <c r="G196" s="10" t="s">
        <v>245</v>
      </c>
      <c r="H196" s="10" t="s">
        <v>179</v>
      </c>
      <c r="I196" s="10" t="s">
        <v>151</v>
      </c>
      <c r="J196" s="10" t="s">
        <v>152</v>
      </c>
    </row>
    <row r="197" spans="2:10" s="8" customFormat="1" ht="12.75">
      <c r="B197" s="54" t="s">
        <v>480</v>
      </c>
      <c r="C197" s="10">
        <v>0.10199999999999999</v>
      </c>
      <c r="D197" s="10">
        <v>9.5899999999999999E-2</v>
      </c>
      <c r="E197" s="10">
        <v>0.10199999999999999</v>
      </c>
      <c r="F197" s="10">
        <v>9.5899999999999999E-2</v>
      </c>
      <c r="G197" s="10" t="s">
        <v>113</v>
      </c>
      <c r="H197" s="10" t="s">
        <v>160</v>
      </c>
      <c r="I197" s="10" t="s">
        <v>279</v>
      </c>
      <c r="J197" s="10" t="s">
        <v>162</v>
      </c>
    </row>
    <row r="198" spans="2:10" s="8" customFormat="1" ht="12.75">
      <c r="B198" s="54" t="s">
        <v>481</v>
      </c>
      <c r="C198" s="10">
        <v>0.08</v>
      </c>
      <c r="D198" s="10">
        <v>9.3600000000000003E-2</v>
      </c>
      <c r="E198" s="10">
        <v>0.08</v>
      </c>
      <c r="F198" s="10">
        <v>9.3600000000000003E-2</v>
      </c>
      <c r="G198" s="10" t="s">
        <v>121</v>
      </c>
      <c r="H198" s="10" t="s">
        <v>170</v>
      </c>
      <c r="I198" s="10" t="s">
        <v>281</v>
      </c>
      <c r="J198" s="10" t="s">
        <v>172</v>
      </c>
    </row>
    <row r="199" spans="2:10" s="8" customFormat="1" ht="12.75">
      <c r="B199" s="54" t="s">
        <v>482</v>
      </c>
      <c r="C199" s="10">
        <v>6.3E-2</v>
      </c>
      <c r="D199" s="10">
        <v>9.1899999999999996E-2</v>
      </c>
      <c r="E199" s="10">
        <v>6.3E-2</v>
      </c>
      <c r="F199" s="10">
        <v>9.1899999999999996E-2</v>
      </c>
      <c r="G199" s="10" t="s">
        <v>160</v>
      </c>
      <c r="H199" s="10" t="s">
        <v>248</v>
      </c>
      <c r="I199" s="10" t="s">
        <v>283</v>
      </c>
      <c r="J199" s="10" t="s">
        <v>181</v>
      </c>
    </row>
    <row r="200" spans="2:10" s="8" customFormat="1" ht="12.75">
      <c r="B200" s="54" t="s">
        <v>483</v>
      </c>
      <c r="C200" s="10">
        <v>5.1299999999999998E-2</v>
      </c>
      <c r="D200" s="10">
        <v>8.9499999999999996E-2</v>
      </c>
      <c r="E200" s="10">
        <v>5.1299999999999998E-2</v>
      </c>
      <c r="F200" s="10">
        <v>8.9499999999999996E-2</v>
      </c>
      <c r="G200" s="10" t="s">
        <v>170</v>
      </c>
      <c r="H200" s="10" t="s">
        <v>187</v>
      </c>
      <c r="I200" s="10" t="s">
        <v>188</v>
      </c>
      <c r="J200" s="10" t="s">
        <v>189</v>
      </c>
    </row>
    <row r="201" spans="2:10" s="8" customFormat="1" ht="12.75">
      <c r="B201" s="54" t="s">
        <v>484</v>
      </c>
      <c r="C201" s="10">
        <v>4.2599999999999999E-2</v>
      </c>
      <c r="D201" s="10">
        <v>8.7499999999999994E-2</v>
      </c>
      <c r="E201" s="10">
        <v>4.2599999999999999E-2</v>
      </c>
      <c r="F201" s="10">
        <v>8.7499999999999994E-2</v>
      </c>
      <c r="G201" s="10" t="s">
        <v>248</v>
      </c>
      <c r="H201" s="10" t="s">
        <v>150</v>
      </c>
      <c r="I201" s="10" t="s">
        <v>196</v>
      </c>
      <c r="J201" s="10" t="s">
        <v>197</v>
      </c>
    </row>
    <row r="202" spans="2:10" s="8" customFormat="1" ht="12.75">
      <c r="B202" s="54" t="s">
        <v>485</v>
      </c>
      <c r="C202" s="10">
        <v>1.1000000000000001</v>
      </c>
      <c r="D202" s="10">
        <v>0.13400000000000001</v>
      </c>
      <c r="E202" s="10">
        <v>1.1000000000000001</v>
      </c>
      <c r="F202" s="10">
        <v>0.13400000000000001</v>
      </c>
      <c r="G202" s="10" t="s">
        <v>66</v>
      </c>
      <c r="H202" s="10" t="s">
        <v>71</v>
      </c>
      <c r="I202" s="10" t="s">
        <v>210</v>
      </c>
      <c r="J202" s="10" t="s">
        <v>211</v>
      </c>
    </row>
    <row r="203" spans="2:10" s="8" customFormat="1" ht="12.75">
      <c r="B203" s="54" t="s">
        <v>486</v>
      </c>
      <c r="C203" s="10">
        <v>1.1000000000000001</v>
      </c>
      <c r="D203" s="10">
        <v>0.13400000000000001</v>
      </c>
      <c r="E203" s="10">
        <v>1.1000000000000001</v>
      </c>
      <c r="F203" s="10">
        <v>0.13400000000000001</v>
      </c>
      <c r="G203" s="10" t="s">
        <v>67</v>
      </c>
      <c r="H203" s="10" t="s">
        <v>79</v>
      </c>
      <c r="I203" s="10" t="s">
        <v>213</v>
      </c>
      <c r="J203" s="10" t="s">
        <v>214</v>
      </c>
    </row>
    <row r="204" spans="2:10" s="8" customFormat="1" ht="12.75">
      <c r="B204" s="54" t="s">
        <v>487</v>
      </c>
      <c r="C204" s="10">
        <v>0.82199999999999995</v>
      </c>
      <c r="D204" s="10">
        <v>0.1358</v>
      </c>
      <c r="E204" s="10">
        <v>0.82199999999999995</v>
      </c>
      <c r="F204" s="10">
        <v>0.1358</v>
      </c>
      <c r="G204" s="10" t="s">
        <v>78</v>
      </c>
      <c r="H204" s="10" t="s">
        <v>106</v>
      </c>
      <c r="I204" s="10" t="s">
        <v>216</v>
      </c>
      <c r="J204" s="10" t="s">
        <v>217</v>
      </c>
    </row>
    <row r="205" spans="2:10" s="8" customFormat="1" ht="12.75">
      <c r="B205" s="54" t="s">
        <v>488</v>
      </c>
      <c r="C205" s="10">
        <v>0.56799999999999995</v>
      </c>
      <c r="D205" s="10">
        <v>0.1237</v>
      </c>
      <c r="E205" s="10">
        <v>0.56799999999999995</v>
      </c>
      <c r="F205" s="10">
        <v>0.1237</v>
      </c>
      <c r="G205" s="10" t="s">
        <v>87</v>
      </c>
      <c r="H205" s="10" t="s">
        <v>124</v>
      </c>
      <c r="I205" s="10" t="s">
        <v>221</v>
      </c>
      <c r="J205" s="10" t="s">
        <v>95</v>
      </c>
    </row>
    <row r="206" spans="2:10" s="8" customFormat="1" ht="12.75">
      <c r="B206" s="54" t="s">
        <v>489</v>
      </c>
      <c r="C206" s="10">
        <v>0.41099999999999998</v>
      </c>
      <c r="D206" s="10">
        <v>0.1168</v>
      </c>
      <c r="E206" s="10">
        <v>0.41099999999999998</v>
      </c>
      <c r="F206" s="10">
        <v>0.1168</v>
      </c>
      <c r="G206" s="10" t="s">
        <v>111</v>
      </c>
      <c r="H206" s="10" t="s">
        <v>130</v>
      </c>
      <c r="I206" s="10" t="s">
        <v>223</v>
      </c>
      <c r="J206" s="10" t="s">
        <v>105</v>
      </c>
    </row>
    <row r="207" spans="2:10" s="8" customFormat="1" ht="12.75">
      <c r="B207" s="54" t="s">
        <v>490</v>
      </c>
      <c r="C207" s="10">
        <v>0.32500000000000001</v>
      </c>
      <c r="D207" s="10">
        <v>0.1128</v>
      </c>
      <c r="E207" s="10">
        <v>0.32500000000000001</v>
      </c>
      <c r="F207" s="10">
        <v>0.1128</v>
      </c>
      <c r="G207" s="10" t="s">
        <v>127</v>
      </c>
      <c r="H207" s="10" t="s">
        <v>120</v>
      </c>
      <c r="I207" s="10" t="s">
        <v>114</v>
      </c>
      <c r="J207" s="10" t="s">
        <v>115</v>
      </c>
    </row>
    <row r="208" spans="2:10" s="8" customFormat="1" ht="12.75">
      <c r="B208" s="54" t="s">
        <v>491</v>
      </c>
      <c r="C208" s="10">
        <v>0.26500000000000001</v>
      </c>
      <c r="D208" s="10">
        <v>0.1096</v>
      </c>
      <c r="E208" s="10">
        <v>0.26500000000000001</v>
      </c>
      <c r="F208" s="10">
        <v>0.1096</v>
      </c>
      <c r="G208" s="10" t="s">
        <v>130</v>
      </c>
      <c r="H208" s="10" t="s">
        <v>113</v>
      </c>
      <c r="I208" s="10" t="s">
        <v>122</v>
      </c>
      <c r="J208" s="10" t="s">
        <v>123</v>
      </c>
    </row>
    <row r="209" spans="2:10" s="8" customFormat="1" ht="12.75">
      <c r="B209" s="54" t="s">
        <v>492</v>
      </c>
      <c r="C209" s="10">
        <v>0.21099999999999999</v>
      </c>
      <c r="D209" s="10">
        <v>0.10730000000000001</v>
      </c>
      <c r="E209" s="10">
        <v>0.21099999999999999</v>
      </c>
      <c r="F209" s="10">
        <v>0.10730000000000001</v>
      </c>
      <c r="G209" s="10" t="s">
        <v>120</v>
      </c>
      <c r="H209" s="10" t="s">
        <v>121</v>
      </c>
      <c r="I209" s="10" t="s">
        <v>133</v>
      </c>
      <c r="J209" s="10" t="s">
        <v>134</v>
      </c>
    </row>
    <row r="210" spans="2:10" s="8" customFormat="1" ht="12.75">
      <c r="B210" s="54" t="s">
        <v>493</v>
      </c>
      <c r="C210" s="10">
        <v>0.161</v>
      </c>
      <c r="D210" s="10">
        <v>0.1041</v>
      </c>
      <c r="E210" s="10">
        <v>0.161</v>
      </c>
      <c r="F210" s="10">
        <v>0.1041</v>
      </c>
      <c r="G210" s="10" t="s">
        <v>277</v>
      </c>
      <c r="H210" s="10" t="s">
        <v>167</v>
      </c>
      <c r="I210" s="10" t="s">
        <v>143</v>
      </c>
      <c r="J210" s="10" t="s">
        <v>144</v>
      </c>
    </row>
    <row r="211" spans="2:10" s="8" customFormat="1" ht="12.75">
      <c r="B211" s="54" t="s">
        <v>494</v>
      </c>
      <c r="C211" s="10">
        <v>0.13</v>
      </c>
      <c r="D211" s="10">
        <v>0.1002</v>
      </c>
      <c r="E211" s="10">
        <v>0.13</v>
      </c>
      <c r="F211" s="10">
        <v>0.1002</v>
      </c>
      <c r="G211" s="10" t="s">
        <v>140</v>
      </c>
      <c r="H211" s="10" t="s">
        <v>194</v>
      </c>
      <c r="I211" s="10" t="s">
        <v>151</v>
      </c>
      <c r="J211" s="10" t="s">
        <v>152</v>
      </c>
    </row>
    <row r="212" spans="2:10" s="8" customFormat="1" ht="12.75">
      <c r="B212" s="54" t="s">
        <v>495</v>
      </c>
      <c r="C212" s="10">
        <v>0.10199999999999999</v>
      </c>
      <c r="D212" s="10">
        <v>9.6799999999999997E-2</v>
      </c>
      <c r="E212" s="10">
        <v>0.10199999999999999</v>
      </c>
      <c r="F212" s="10">
        <v>9.6799999999999997E-2</v>
      </c>
      <c r="G212" s="10" t="s">
        <v>243</v>
      </c>
      <c r="H212" s="10" t="s">
        <v>286</v>
      </c>
      <c r="I212" s="10" t="s">
        <v>162</v>
      </c>
      <c r="J212" s="10" t="s">
        <v>163</v>
      </c>
    </row>
    <row r="213" spans="2:10" s="8" customFormat="1" ht="12.75">
      <c r="B213" s="5"/>
      <c r="C213" s="50"/>
      <c r="D213" s="50"/>
      <c r="E213" s="50"/>
      <c r="F213" s="50"/>
      <c r="G213" s="50"/>
      <c r="H213" s="50"/>
      <c r="I213" s="50"/>
      <c r="J213" s="50"/>
    </row>
    <row r="214" spans="2:10" s="8" customFormat="1" ht="12.75">
      <c r="B214" s="55" t="s">
        <v>533</v>
      </c>
      <c r="C214" s="10">
        <v>1.1000000000000001</v>
      </c>
      <c r="D214" s="10">
        <v>0.13400000000000001</v>
      </c>
      <c r="E214" s="10">
        <v>1.1000000000000001</v>
      </c>
      <c r="F214" s="10">
        <v>0.13400000000000001</v>
      </c>
      <c r="G214" s="10" t="s">
        <v>77</v>
      </c>
      <c r="H214" s="10" t="s">
        <v>72</v>
      </c>
      <c r="I214" s="10" t="s">
        <v>210</v>
      </c>
      <c r="J214" s="10" t="s">
        <v>211</v>
      </c>
    </row>
    <row r="215" spans="2:10" s="8" customFormat="1" ht="12.75">
      <c r="B215" s="55" t="s">
        <v>534</v>
      </c>
      <c r="C215" s="10">
        <v>1.1000000000000001</v>
      </c>
      <c r="D215" s="10">
        <v>0.13400000000000001</v>
      </c>
      <c r="E215" s="10">
        <v>1.1000000000000001</v>
      </c>
      <c r="F215" s="10">
        <v>0.13400000000000001</v>
      </c>
      <c r="G215" s="10" t="s">
        <v>63</v>
      </c>
      <c r="H215" s="10" t="s">
        <v>83</v>
      </c>
      <c r="I215" s="10" t="s">
        <v>213</v>
      </c>
      <c r="J215" s="10" t="s">
        <v>276</v>
      </c>
    </row>
    <row r="216" spans="2:10" s="8" customFormat="1" ht="12.75">
      <c r="B216" s="55" t="s">
        <v>535</v>
      </c>
      <c r="C216" s="10">
        <v>0.82199999999999995</v>
      </c>
      <c r="D216" s="10">
        <v>0.1358</v>
      </c>
      <c r="E216" s="10">
        <v>0.82199999999999995</v>
      </c>
      <c r="F216" s="10">
        <v>0.1358</v>
      </c>
      <c r="G216" s="10" t="s">
        <v>82</v>
      </c>
      <c r="H216" s="10" t="s">
        <v>96</v>
      </c>
      <c r="I216" s="10" t="s">
        <v>216</v>
      </c>
      <c r="J216" s="10" t="s">
        <v>217</v>
      </c>
    </row>
    <row r="217" spans="2:10" s="8" customFormat="1" ht="12.75">
      <c r="B217" s="55" t="s">
        <v>536</v>
      </c>
      <c r="C217" s="10">
        <v>0.56799999999999995</v>
      </c>
      <c r="D217" s="10">
        <v>0.1237</v>
      </c>
      <c r="E217" s="10">
        <v>0.56799999999999995</v>
      </c>
      <c r="F217" s="10">
        <v>0.1237</v>
      </c>
      <c r="G217" s="10" t="s">
        <v>84</v>
      </c>
      <c r="H217" s="10" t="s">
        <v>154</v>
      </c>
      <c r="I217" s="10" t="s">
        <v>221</v>
      </c>
      <c r="J217" s="10" t="s">
        <v>95</v>
      </c>
    </row>
    <row r="218" spans="2:10" s="8" customFormat="1" ht="12.75">
      <c r="B218" s="55" t="s">
        <v>537</v>
      </c>
      <c r="C218" s="10">
        <v>0.41099999999999998</v>
      </c>
      <c r="D218" s="10">
        <v>0.1168</v>
      </c>
      <c r="E218" s="10">
        <v>0.41099999999999998</v>
      </c>
      <c r="F218" s="10">
        <v>0.1168</v>
      </c>
      <c r="G218" s="10" t="s">
        <v>127</v>
      </c>
      <c r="H218" s="10" t="s">
        <v>139</v>
      </c>
      <c r="I218" s="10" t="s">
        <v>223</v>
      </c>
      <c r="J218" s="10" t="s">
        <v>105</v>
      </c>
    </row>
    <row r="219" spans="2:10" s="8" customFormat="1" ht="12.75">
      <c r="B219" s="55" t="s">
        <v>538</v>
      </c>
      <c r="C219" s="10">
        <v>0.32500000000000001</v>
      </c>
      <c r="D219" s="10">
        <v>0.1128</v>
      </c>
      <c r="E219" s="10">
        <v>0.32500000000000001</v>
      </c>
      <c r="F219" s="10">
        <v>0.1128</v>
      </c>
      <c r="G219" s="10" t="s">
        <v>126</v>
      </c>
      <c r="H219" s="10" t="s">
        <v>148</v>
      </c>
      <c r="I219" s="10" t="s">
        <v>114</v>
      </c>
      <c r="J219" s="10" t="s">
        <v>115</v>
      </c>
    </row>
    <row r="220" spans="2:10" s="8" customFormat="1" ht="12.75">
      <c r="B220" s="55" t="s">
        <v>539</v>
      </c>
      <c r="C220" s="10">
        <v>0.26500000000000001</v>
      </c>
      <c r="D220" s="10">
        <v>0.1096</v>
      </c>
      <c r="E220" s="10">
        <v>0.26500000000000001</v>
      </c>
      <c r="F220" s="10">
        <v>0.1096</v>
      </c>
      <c r="G220" s="10" t="s">
        <v>135</v>
      </c>
      <c r="H220" s="10" t="s">
        <v>244</v>
      </c>
      <c r="I220" s="10" t="s">
        <v>122</v>
      </c>
      <c r="J220" s="10" t="s">
        <v>123</v>
      </c>
    </row>
    <row r="221" spans="2:10" s="8" customFormat="1" ht="12.75">
      <c r="B221" s="55" t="s">
        <v>540</v>
      </c>
      <c r="C221" s="10">
        <v>0.21099999999999999</v>
      </c>
      <c r="D221" s="10">
        <v>0.10730000000000001</v>
      </c>
      <c r="E221" s="10">
        <v>0.21099999999999999</v>
      </c>
      <c r="F221" s="10">
        <v>0.10730000000000001</v>
      </c>
      <c r="G221" s="10" t="s">
        <v>277</v>
      </c>
      <c r="H221" s="10" t="s">
        <v>234</v>
      </c>
      <c r="I221" s="10" t="s">
        <v>133</v>
      </c>
      <c r="J221" s="10" t="s">
        <v>134</v>
      </c>
    </row>
    <row r="222" spans="2:10" s="8" customFormat="1" ht="12.75">
      <c r="B222" s="55" t="s">
        <v>541</v>
      </c>
      <c r="C222" s="10">
        <v>0.161</v>
      </c>
      <c r="D222" s="10">
        <v>0.1041</v>
      </c>
      <c r="E222" s="10">
        <v>0.161</v>
      </c>
      <c r="F222" s="10">
        <v>0.1041</v>
      </c>
      <c r="G222" s="10" t="s">
        <v>174</v>
      </c>
      <c r="H222" s="10" t="s">
        <v>278</v>
      </c>
      <c r="I222" s="10" t="s">
        <v>143</v>
      </c>
      <c r="J222" s="10" t="s">
        <v>144</v>
      </c>
    </row>
    <row r="223" spans="2:10" s="8" customFormat="1" ht="12.75">
      <c r="B223" s="55" t="s">
        <v>542</v>
      </c>
      <c r="C223" s="10">
        <v>0.13</v>
      </c>
      <c r="D223" s="10">
        <v>0.1002</v>
      </c>
      <c r="E223" s="10">
        <v>0.13</v>
      </c>
      <c r="F223" s="10">
        <v>0.1002</v>
      </c>
      <c r="G223" s="10" t="s">
        <v>245</v>
      </c>
      <c r="H223" s="10" t="s">
        <v>179</v>
      </c>
      <c r="I223" s="10" t="s">
        <v>151</v>
      </c>
      <c r="J223" s="10" t="s">
        <v>152</v>
      </c>
    </row>
    <row r="224" spans="2:10" s="8" customFormat="1" ht="12.75">
      <c r="B224" s="55" t="s">
        <v>543</v>
      </c>
      <c r="C224" s="10">
        <v>0.10199999999999999</v>
      </c>
      <c r="D224" s="10">
        <v>9.6799999999999997E-2</v>
      </c>
      <c r="E224" s="10">
        <v>0.10199999999999999</v>
      </c>
      <c r="F224" s="10">
        <v>9.6799999999999997E-2</v>
      </c>
      <c r="G224" s="10" t="s">
        <v>187</v>
      </c>
      <c r="H224" s="10" t="s">
        <v>279</v>
      </c>
      <c r="I224" s="10" t="s">
        <v>162</v>
      </c>
      <c r="J224" s="10" t="s">
        <v>163</v>
      </c>
    </row>
    <row r="225" spans="2:10" s="8" customFormat="1" ht="12.75">
      <c r="B225" s="55" t="s">
        <v>544</v>
      </c>
      <c r="C225" s="10">
        <v>0.08</v>
      </c>
      <c r="D225" s="10">
        <v>9.3899999999999997E-2</v>
      </c>
      <c r="E225" s="10">
        <v>0.08</v>
      </c>
      <c r="F225" s="10">
        <v>9.3899999999999997E-2</v>
      </c>
      <c r="G225" s="10" t="s">
        <v>280</v>
      </c>
      <c r="H225" s="10" t="s">
        <v>281</v>
      </c>
      <c r="I225" s="10" t="s">
        <v>172</v>
      </c>
      <c r="J225" s="10" t="s">
        <v>173</v>
      </c>
    </row>
    <row r="226" spans="2:10" s="8" customFormat="1" ht="12.75">
      <c r="B226" s="55" t="s">
        <v>545</v>
      </c>
      <c r="C226" s="10">
        <v>6.3E-2</v>
      </c>
      <c r="D226" s="10">
        <v>9.2100000000000001E-2</v>
      </c>
      <c r="E226" s="10">
        <v>6.3E-2</v>
      </c>
      <c r="F226" s="10">
        <v>9.2100000000000001E-2</v>
      </c>
      <c r="G226" s="10" t="s">
        <v>282</v>
      </c>
      <c r="H226" s="10" t="s">
        <v>283</v>
      </c>
      <c r="I226" s="10" t="s">
        <v>181</v>
      </c>
      <c r="J226" s="10" t="s">
        <v>287</v>
      </c>
    </row>
    <row r="227" spans="2:10" s="8" customFormat="1" ht="12.75">
      <c r="B227" s="55" t="s">
        <v>546</v>
      </c>
      <c r="C227" s="10">
        <v>5.1299999999999998E-2</v>
      </c>
      <c r="D227" s="10">
        <v>9.7000000000000003E-2</v>
      </c>
      <c r="E227" s="10">
        <v>5.1299999999999998E-2</v>
      </c>
      <c r="F227" s="10">
        <v>9.7000000000000003E-2</v>
      </c>
      <c r="G227" s="10" t="s">
        <v>284</v>
      </c>
      <c r="H227" s="10" t="s">
        <v>188</v>
      </c>
      <c r="I227" s="10" t="s">
        <v>189</v>
      </c>
      <c r="J227" s="10" t="s">
        <v>190</v>
      </c>
    </row>
    <row r="228" spans="2:10" s="8" customFormat="1" ht="12.75">
      <c r="B228" s="55" t="s">
        <v>547</v>
      </c>
      <c r="C228" s="10">
        <v>4.2599999999999999E-2</v>
      </c>
      <c r="D228" s="10">
        <v>8.7499999999999994E-2</v>
      </c>
      <c r="E228" s="10">
        <v>4.2599999999999999E-2</v>
      </c>
      <c r="F228" s="10">
        <v>8.7499999999999994E-2</v>
      </c>
      <c r="G228" s="10" t="s">
        <v>285</v>
      </c>
      <c r="H228" s="10" t="s">
        <v>196</v>
      </c>
      <c r="I228" s="10" t="s">
        <v>197</v>
      </c>
      <c r="J228" s="10" t="s">
        <v>198</v>
      </c>
    </row>
    <row r="229" spans="2:10" s="8" customFormat="1" ht="12.75">
      <c r="B229" s="55" t="s">
        <v>548</v>
      </c>
      <c r="C229" s="10">
        <v>1.1000000000000001</v>
      </c>
      <c r="D229" s="10">
        <v>0.13400000000000001</v>
      </c>
      <c r="E229" s="10">
        <v>1.1000000000000001</v>
      </c>
      <c r="F229" s="10">
        <v>0.13400000000000001</v>
      </c>
      <c r="G229" s="10" t="s">
        <v>66</v>
      </c>
      <c r="H229" s="10" t="s">
        <v>71</v>
      </c>
      <c r="I229" s="10" t="s">
        <v>210</v>
      </c>
      <c r="J229" s="10" t="s">
        <v>211</v>
      </c>
    </row>
    <row r="230" spans="2:10" s="8" customFormat="1" ht="12.75">
      <c r="B230" s="55" t="s">
        <v>549</v>
      </c>
      <c r="C230" s="10">
        <v>1.1000000000000001</v>
      </c>
      <c r="D230" s="10">
        <v>0.13400000000000001</v>
      </c>
      <c r="E230" s="10">
        <v>1.1000000000000001</v>
      </c>
      <c r="F230" s="10">
        <v>0.13400000000000001</v>
      </c>
      <c r="G230" s="10" t="s">
        <v>67</v>
      </c>
      <c r="H230" s="10" t="s">
        <v>79</v>
      </c>
      <c r="I230" s="10" t="s">
        <v>213</v>
      </c>
      <c r="J230" s="10" t="s">
        <v>214</v>
      </c>
    </row>
    <row r="231" spans="2:10" s="8" customFormat="1" ht="12.75">
      <c r="B231" s="55" t="s">
        <v>550</v>
      </c>
      <c r="C231" s="10">
        <v>0.82199999999999995</v>
      </c>
      <c r="D231" s="10">
        <v>0.1358</v>
      </c>
      <c r="E231" s="10">
        <v>0.82199999999999995</v>
      </c>
      <c r="F231" s="10">
        <v>0.1358</v>
      </c>
      <c r="G231" s="10" t="s">
        <v>78</v>
      </c>
      <c r="H231" s="10" t="s">
        <v>106</v>
      </c>
      <c r="I231" s="10" t="s">
        <v>216</v>
      </c>
      <c r="J231" s="10" t="s">
        <v>217</v>
      </c>
    </row>
    <row r="232" spans="2:10" s="8" customFormat="1" ht="12.75">
      <c r="B232" s="55" t="s">
        <v>551</v>
      </c>
      <c r="C232" s="10">
        <v>0.56799999999999995</v>
      </c>
      <c r="D232" s="10">
        <v>0.1237</v>
      </c>
      <c r="E232" s="10">
        <v>0.56799999999999995</v>
      </c>
      <c r="F232" s="10">
        <v>0.1237</v>
      </c>
      <c r="G232" s="10" t="s">
        <v>87</v>
      </c>
      <c r="H232" s="10" t="s">
        <v>124</v>
      </c>
      <c r="I232" s="10" t="s">
        <v>221</v>
      </c>
      <c r="J232" s="10" t="s">
        <v>95</v>
      </c>
    </row>
    <row r="233" spans="2:10" s="8" customFormat="1" ht="12.75">
      <c r="B233" s="55" t="s">
        <v>552</v>
      </c>
      <c r="C233" s="10">
        <v>0.41099999999999998</v>
      </c>
      <c r="D233" s="10">
        <v>0.1168</v>
      </c>
      <c r="E233" s="10">
        <v>0.41099999999999998</v>
      </c>
      <c r="F233" s="10">
        <v>0.1168</v>
      </c>
      <c r="G233" s="10" t="s">
        <v>111</v>
      </c>
      <c r="H233" s="10" t="s">
        <v>130</v>
      </c>
      <c r="I233" s="10" t="s">
        <v>223</v>
      </c>
      <c r="J233" s="10" t="s">
        <v>105</v>
      </c>
    </row>
    <row r="234" spans="2:10" s="8" customFormat="1" ht="12.75">
      <c r="B234" s="55" t="s">
        <v>553</v>
      </c>
      <c r="C234" s="10">
        <v>0.32500000000000001</v>
      </c>
      <c r="D234" s="10">
        <v>0.1128</v>
      </c>
      <c r="E234" s="10">
        <v>0.32500000000000001</v>
      </c>
      <c r="F234" s="10">
        <v>0.1128</v>
      </c>
      <c r="G234" s="10" t="s">
        <v>127</v>
      </c>
      <c r="H234" s="10" t="s">
        <v>120</v>
      </c>
      <c r="I234" s="10" t="s">
        <v>114</v>
      </c>
      <c r="J234" s="10" t="s">
        <v>115</v>
      </c>
    </row>
    <row r="235" spans="2:10" s="8" customFormat="1" ht="12.75">
      <c r="B235" s="55" t="s">
        <v>554</v>
      </c>
      <c r="C235" s="10">
        <v>0.26500000000000001</v>
      </c>
      <c r="D235" s="10">
        <v>0.1096</v>
      </c>
      <c r="E235" s="10">
        <v>0.26500000000000001</v>
      </c>
      <c r="F235" s="10">
        <v>0.1096</v>
      </c>
      <c r="G235" s="10" t="s">
        <v>130</v>
      </c>
      <c r="H235" s="10" t="s">
        <v>113</v>
      </c>
      <c r="I235" s="10" t="s">
        <v>122</v>
      </c>
      <c r="J235" s="10" t="s">
        <v>123</v>
      </c>
    </row>
    <row r="236" spans="2:10" s="8" customFormat="1" ht="12.75">
      <c r="B236" s="55" t="s">
        <v>555</v>
      </c>
      <c r="C236" s="10">
        <v>0.21099999999999999</v>
      </c>
      <c r="D236" s="10">
        <v>0.10730000000000001</v>
      </c>
      <c r="E236" s="10">
        <v>0.21099999999999999</v>
      </c>
      <c r="F236" s="10">
        <v>0.10730000000000001</v>
      </c>
      <c r="G236" s="10" t="s">
        <v>120</v>
      </c>
      <c r="H236" s="10" t="s">
        <v>121</v>
      </c>
      <c r="I236" s="10" t="s">
        <v>133</v>
      </c>
      <c r="J236" s="10" t="s">
        <v>134</v>
      </c>
    </row>
    <row r="237" spans="2:10" s="8" customFormat="1" ht="12.75">
      <c r="B237" s="55" t="s">
        <v>556</v>
      </c>
      <c r="C237" s="10">
        <v>0.161</v>
      </c>
      <c r="D237" s="10">
        <v>0.1041</v>
      </c>
      <c r="E237" s="10">
        <v>0.161</v>
      </c>
      <c r="F237" s="10">
        <v>0.1041</v>
      </c>
      <c r="G237" s="10" t="s">
        <v>277</v>
      </c>
      <c r="H237" s="10" t="s">
        <v>167</v>
      </c>
      <c r="I237" s="10" t="s">
        <v>143</v>
      </c>
      <c r="J237" s="10" t="s">
        <v>144</v>
      </c>
    </row>
    <row r="238" spans="2:10" s="8" customFormat="1" ht="12.75">
      <c r="B238" s="55" t="s">
        <v>557</v>
      </c>
      <c r="C238" s="10">
        <v>0.13</v>
      </c>
      <c r="D238" s="10">
        <v>0.1002</v>
      </c>
      <c r="E238" s="10">
        <v>0.13</v>
      </c>
      <c r="F238" s="10">
        <v>0.1002</v>
      </c>
      <c r="G238" s="10" t="s">
        <v>140</v>
      </c>
      <c r="H238" s="10" t="s">
        <v>194</v>
      </c>
      <c r="I238" s="10" t="s">
        <v>151</v>
      </c>
      <c r="J238" s="10" t="s">
        <v>152</v>
      </c>
    </row>
    <row r="239" spans="2:10" s="8" customFormat="1" ht="12.75">
      <c r="B239" s="16" t="s">
        <v>558</v>
      </c>
      <c r="C239" s="10">
        <v>0.10199999999999999</v>
      </c>
      <c r="D239" s="10">
        <v>9.6799999999999997E-2</v>
      </c>
      <c r="E239" s="10">
        <v>0.10199999999999999</v>
      </c>
      <c r="F239" s="10">
        <v>9.6799999999999997E-2</v>
      </c>
      <c r="G239" s="10" t="s">
        <v>243</v>
      </c>
      <c r="H239" s="10" t="s">
        <v>286</v>
      </c>
      <c r="I239" s="10" t="s">
        <v>162</v>
      </c>
      <c r="J239" s="10" t="s">
        <v>163</v>
      </c>
    </row>
    <row r="240" spans="2:10" s="8" customFormat="1" ht="12.75">
      <c r="B240" s="5"/>
      <c r="C240" s="50"/>
      <c r="D240" s="50"/>
      <c r="E240" s="50"/>
      <c r="F240" s="50"/>
      <c r="G240" s="50"/>
      <c r="H240" s="50"/>
      <c r="I240" s="50"/>
      <c r="J240" s="50"/>
    </row>
    <row r="241" spans="2:10" s="8" customFormat="1" ht="12.75">
      <c r="B241" s="54" t="s">
        <v>496</v>
      </c>
      <c r="C241" s="12">
        <v>1.1000000000000001</v>
      </c>
      <c r="D241" s="12">
        <v>0.13400000000000001</v>
      </c>
      <c r="E241" s="12">
        <v>1.1000000000000001</v>
      </c>
      <c r="F241" s="12">
        <v>0.13400000000000001</v>
      </c>
      <c r="G241" s="12" t="s">
        <v>77</v>
      </c>
      <c r="H241" s="12" t="s">
        <v>72</v>
      </c>
      <c r="I241" s="12" t="s">
        <v>210</v>
      </c>
      <c r="J241" s="12" t="s">
        <v>211</v>
      </c>
    </row>
    <row r="242" spans="2:10" s="8" customFormat="1" ht="12.75">
      <c r="B242" s="54" t="s">
        <v>497</v>
      </c>
      <c r="C242" s="12">
        <v>1.1000000000000001</v>
      </c>
      <c r="D242" s="12">
        <v>0.13400000000000001</v>
      </c>
      <c r="E242" s="12">
        <v>1.1000000000000001</v>
      </c>
      <c r="F242" s="12">
        <v>0.13400000000000001</v>
      </c>
      <c r="G242" s="12" t="s">
        <v>63</v>
      </c>
      <c r="H242" s="12" t="s">
        <v>83</v>
      </c>
      <c r="I242" s="12" t="s">
        <v>213</v>
      </c>
      <c r="J242" s="12" t="s">
        <v>276</v>
      </c>
    </row>
    <row r="243" spans="2:10" s="8" customFormat="1" ht="12.75">
      <c r="B243" s="54" t="s">
        <v>498</v>
      </c>
      <c r="C243" s="12">
        <v>0.82199999999999995</v>
      </c>
      <c r="D243" s="12">
        <v>0.1358</v>
      </c>
      <c r="E243" s="12">
        <v>0.82199999999999995</v>
      </c>
      <c r="F243" s="12">
        <v>0.1358</v>
      </c>
      <c r="G243" s="12" t="s">
        <v>82</v>
      </c>
      <c r="H243" s="12" t="s">
        <v>96</v>
      </c>
      <c r="I243" s="12" t="s">
        <v>216</v>
      </c>
      <c r="J243" s="12" t="s">
        <v>217</v>
      </c>
    </row>
    <row r="244" spans="2:10" s="8" customFormat="1" ht="12.75">
      <c r="B244" s="54" t="s">
        <v>499</v>
      </c>
      <c r="C244" s="12">
        <v>0.56799999999999995</v>
      </c>
      <c r="D244" s="12">
        <v>0.1237</v>
      </c>
      <c r="E244" s="12">
        <v>0.56799999999999995</v>
      </c>
      <c r="F244" s="12">
        <v>0.1237</v>
      </c>
      <c r="G244" s="12" t="s">
        <v>84</v>
      </c>
      <c r="H244" s="12" t="s">
        <v>154</v>
      </c>
      <c r="I244" s="12" t="s">
        <v>221</v>
      </c>
      <c r="J244" s="12" t="s">
        <v>95</v>
      </c>
    </row>
    <row r="245" spans="2:10" s="8" customFormat="1" ht="12.75">
      <c r="B245" s="54" t="s">
        <v>500</v>
      </c>
      <c r="C245" s="12">
        <v>0.41099999999999998</v>
      </c>
      <c r="D245" s="12">
        <v>0.1168</v>
      </c>
      <c r="E245" s="12">
        <v>0.41099999999999998</v>
      </c>
      <c r="F245" s="12">
        <v>0.1168</v>
      </c>
      <c r="G245" s="12" t="s">
        <v>127</v>
      </c>
      <c r="H245" s="12" t="s">
        <v>139</v>
      </c>
      <c r="I245" s="12" t="s">
        <v>223</v>
      </c>
      <c r="J245" s="12" t="s">
        <v>105</v>
      </c>
    </row>
    <row r="246" spans="2:10" s="8" customFormat="1" ht="12.75">
      <c r="B246" s="54" t="s">
        <v>501</v>
      </c>
      <c r="C246" s="12">
        <v>0.32500000000000001</v>
      </c>
      <c r="D246" s="12">
        <v>0.1128</v>
      </c>
      <c r="E246" s="12">
        <v>0.32500000000000001</v>
      </c>
      <c r="F246" s="12">
        <v>0.1128</v>
      </c>
      <c r="G246" s="12" t="s">
        <v>126</v>
      </c>
      <c r="H246" s="12" t="s">
        <v>148</v>
      </c>
      <c r="I246" s="12" t="s">
        <v>114</v>
      </c>
      <c r="J246" s="12" t="s">
        <v>115</v>
      </c>
    </row>
    <row r="247" spans="2:10" s="8" customFormat="1" ht="12.75">
      <c r="B247" s="54" t="s">
        <v>502</v>
      </c>
      <c r="C247" s="12">
        <v>0.26500000000000001</v>
      </c>
      <c r="D247" s="12">
        <v>0.1096</v>
      </c>
      <c r="E247" s="12">
        <v>0.26500000000000001</v>
      </c>
      <c r="F247" s="12">
        <v>0.1096</v>
      </c>
      <c r="G247" s="12" t="s">
        <v>135</v>
      </c>
      <c r="H247" s="12" t="s">
        <v>244</v>
      </c>
      <c r="I247" s="12" t="s">
        <v>122</v>
      </c>
      <c r="J247" s="12" t="s">
        <v>123</v>
      </c>
    </row>
    <row r="248" spans="2:10" s="8" customFormat="1" ht="12.75">
      <c r="B248" s="54" t="s">
        <v>503</v>
      </c>
      <c r="C248" s="12">
        <v>0.21099999999999999</v>
      </c>
      <c r="D248" s="12">
        <v>0.10730000000000001</v>
      </c>
      <c r="E248" s="12">
        <v>0.21099999999999999</v>
      </c>
      <c r="F248" s="12">
        <v>0.10730000000000001</v>
      </c>
      <c r="G248" s="12" t="s">
        <v>277</v>
      </c>
      <c r="H248" s="12" t="s">
        <v>234</v>
      </c>
      <c r="I248" s="12" t="s">
        <v>133</v>
      </c>
      <c r="J248" s="12" t="s">
        <v>134</v>
      </c>
    </row>
    <row r="249" spans="2:10" s="8" customFormat="1" ht="12.75">
      <c r="B249" s="54" t="s">
        <v>504</v>
      </c>
      <c r="C249" s="12">
        <v>0.161</v>
      </c>
      <c r="D249" s="12">
        <v>0.1041</v>
      </c>
      <c r="E249" s="12">
        <v>0.161</v>
      </c>
      <c r="F249" s="12">
        <v>0.1041</v>
      </c>
      <c r="G249" s="12" t="s">
        <v>174</v>
      </c>
      <c r="H249" s="12" t="s">
        <v>278</v>
      </c>
      <c r="I249" s="12" t="s">
        <v>143</v>
      </c>
      <c r="J249" s="12" t="s">
        <v>144</v>
      </c>
    </row>
    <row r="250" spans="2:10" s="8" customFormat="1" ht="12.75">
      <c r="B250" s="54" t="s">
        <v>505</v>
      </c>
      <c r="C250" s="12">
        <v>0.13</v>
      </c>
      <c r="D250" s="12">
        <v>0.1002</v>
      </c>
      <c r="E250" s="12">
        <v>0.13</v>
      </c>
      <c r="F250" s="12">
        <v>0.1002</v>
      </c>
      <c r="G250" s="12" t="s">
        <v>245</v>
      </c>
      <c r="H250" s="12" t="s">
        <v>179</v>
      </c>
      <c r="I250" s="12" t="s">
        <v>151</v>
      </c>
      <c r="J250" s="12" t="s">
        <v>152</v>
      </c>
    </row>
    <row r="251" spans="2:10" s="8" customFormat="1" ht="12.75">
      <c r="B251" s="54" t="s">
        <v>506</v>
      </c>
      <c r="C251" s="12">
        <v>0.10199999999999999</v>
      </c>
      <c r="D251" s="12">
        <v>9.6799999999999997E-2</v>
      </c>
      <c r="E251" s="12">
        <v>0.10199999999999999</v>
      </c>
      <c r="F251" s="12">
        <v>9.6799999999999997E-2</v>
      </c>
      <c r="G251" s="12" t="s">
        <v>187</v>
      </c>
      <c r="H251" s="12" t="s">
        <v>279</v>
      </c>
      <c r="I251" s="12" t="s">
        <v>162</v>
      </c>
      <c r="J251" s="12" t="s">
        <v>163</v>
      </c>
    </row>
    <row r="252" spans="2:10" s="8" customFormat="1" ht="12.75">
      <c r="B252" s="54" t="s">
        <v>507</v>
      </c>
      <c r="C252" s="12">
        <v>0.08</v>
      </c>
      <c r="D252" s="12">
        <v>9.3899999999999997E-2</v>
      </c>
      <c r="E252" s="12">
        <v>0.08</v>
      </c>
      <c r="F252" s="12">
        <v>9.3899999999999997E-2</v>
      </c>
      <c r="G252" s="12" t="s">
        <v>280</v>
      </c>
      <c r="H252" s="12" t="s">
        <v>281</v>
      </c>
      <c r="I252" s="12" t="s">
        <v>172</v>
      </c>
      <c r="J252" s="12" t="s">
        <v>173</v>
      </c>
    </row>
    <row r="253" spans="2:10" s="8" customFormat="1" ht="12.75">
      <c r="B253" s="54" t="s">
        <v>508</v>
      </c>
      <c r="C253" s="12">
        <v>6.3E-2</v>
      </c>
      <c r="D253" s="12">
        <v>9.2100000000000001E-2</v>
      </c>
      <c r="E253" s="12">
        <v>6.3E-2</v>
      </c>
      <c r="F253" s="12">
        <v>9.2100000000000001E-2</v>
      </c>
      <c r="G253" s="12" t="s">
        <v>282</v>
      </c>
      <c r="H253" s="12" t="s">
        <v>283</v>
      </c>
      <c r="I253" s="12" t="s">
        <v>181</v>
      </c>
      <c r="J253" s="12" t="s">
        <v>287</v>
      </c>
    </row>
    <row r="254" spans="2:10" s="8" customFormat="1" ht="12.75">
      <c r="B254" s="54" t="s">
        <v>509</v>
      </c>
      <c r="C254" s="12">
        <v>5.1299999999999998E-2</v>
      </c>
      <c r="D254" s="12">
        <v>9.7000000000000003E-2</v>
      </c>
      <c r="E254" s="12">
        <v>5.1299999999999998E-2</v>
      </c>
      <c r="F254" s="12">
        <v>9.7000000000000003E-2</v>
      </c>
      <c r="G254" s="12" t="s">
        <v>284</v>
      </c>
      <c r="H254" s="12" t="s">
        <v>188</v>
      </c>
      <c r="I254" s="12" t="s">
        <v>189</v>
      </c>
      <c r="J254" s="12" t="s">
        <v>190</v>
      </c>
    </row>
    <row r="255" spans="2:10" s="8" customFormat="1" ht="12.75">
      <c r="B255" s="54" t="s">
        <v>510</v>
      </c>
      <c r="C255" s="12">
        <v>4.2599999999999999E-2</v>
      </c>
      <c r="D255" s="12">
        <v>8.7499999999999994E-2</v>
      </c>
      <c r="E255" s="12">
        <v>4.2599999999999999E-2</v>
      </c>
      <c r="F255" s="12">
        <v>8.7499999999999994E-2</v>
      </c>
      <c r="G255" s="12" t="s">
        <v>285</v>
      </c>
      <c r="H255" s="12" t="s">
        <v>196</v>
      </c>
      <c r="I255" s="12" t="s">
        <v>197</v>
      </c>
      <c r="J255" s="12" t="s">
        <v>198</v>
      </c>
    </row>
    <row r="256" spans="2:10" s="8" customFormat="1" ht="12.75">
      <c r="B256" s="54" t="s">
        <v>511</v>
      </c>
      <c r="C256" s="12">
        <v>1.1000000000000001</v>
      </c>
      <c r="D256" s="12">
        <v>0.13400000000000001</v>
      </c>
      <c r="E256" s="12">
        <v>1.1000000000000001</v>
      </c>
      <c r="F256" s="12">
        <v>0.13400000000000001</v>
      </c>
      <c r="G256" s="12" t="s">
        <v>66</v>
      </c>
      <c r="H256" s="12" t="s">
        <v>71</v>
      </c>
      <c r="I256" s="12" t="s">
        <v>210</v>
      </c>
      <c r="J256" s="12" t="s">
        <v>211</v>
      </c>
    </row>
    <row r="257" spans="2:10" s="8" customFormat="1" ht="12.75">
      <c r="B257" s="54" t="s">
        <v>512</v>
      </c>
      <c r="C257" s="12">
        <v>1.1000000000000001</v>
      </c>
      <c r="D257" s="12">
        <v>0.13400000000000001</v>
      </c>
      <c r="E257" s="12">
        <v>1.1000000000000001</v>
      </c>
      <c r="F257" s="12">
        <v>0.13400000000000001</v>
      </c>
      <c r="G257" s="12" t="s">
        <v>67</v>
      </c>
      <c r="H257" s="12" t="s">
        <v>79</v>
      </c>
      <c r="I257" s="12" t="s">
        <v>213</v>
      </c>
      <c r="J257" s="12" t="s">
        <v>214</v>
      </c>
    </row>
    <row r="258" spans="2:10" s="8" customFormat="1" ht="12.75">
      <c r="B258" s="54" t="s">
        <v>513</v>
      </c>
      <c r="C258" s="12">
        <v>0.82199999999999995</v>
      </c>
      <c r="D258" s="12">
        <v>0.1358</v>
      </c>
      <c r="E258" s="12">
        <v>0.82199999999999995</v>
      </c>
      <c r="F258" s="12">
        <v>0.1358</v>
      </c>
      <c r="G258" s="12" t="s">
        <v>78</v>
      </c>
      <c r="H258" s="12" t="s">
        <v>106</v>
      </c>
      <c r="I258" s="12" t="s">
        <v>216</v>
      </c>
      <c r="J258" s="12" t="s">
        <v>217</v>
      </c>
    </row>
    <row r="259" spans="2:10" s="8" customFormat="1" ht="12.75">
      <c r="B259" s="54" t="s">
        <v>514</v>
      </c>
      <c r="C259" s="12">
        <v>0.56799999999999995</v>
      </c>
      <c r="D259" s="12">
        <v>0.1237</v>
      </c>
      <c r="E259" s="12">
        <v>0.56799999999999995</v>
      </c>
      <c r="F259" s="12">
        <v>0.1237</v>
      </c>
      <c r="G259" s="12" t="s">
        <v>87</v>
      </c>
      <c r="H259" s="12" t="s">
        <v>124</v>
      </c>
      <c r="I259" s="12" t="s">
        <v>221</v>
      </c>
      <c r="J259" s="12" t="s">
        <v>95</v>
      </c>
    </row>
    <row r="260" spans="2:10" s="8" customFormat="1" ht="12.75">
      <c r="B260" s="54" t="s">
        <v>515</v>
      </c>
      <c r="C260" s="12">
        <v>0.41099999999999998</v>
      </c>
      <c r="D260" s="12">
        <v>0.1168</v>
      </c>
      <c r="E260" s="12">
        <v>0.41099999999999998</v>
      </c>
      <c r="F260" s="12">
        <v>0.1168</v>
      </c>
      <c r="G260" s="12" t="s">
        <v>111</v>
      </c>
      <c r="H260" s="12" t="s">
        <v>130</v>
      </c>
      <c r="I260" s="12" t="s">
        <v>223</v>
      </c>
      <c r="J260" s="12" t="s">
        <v>105</v>
      </c>
    </row>
    <row r="261" spans="2:10" s="8" customFormat="1" ht="12.75">
      <c r="B261" s="54" t="s">
        <v>516</v>
      </c>
      <c r="C261" s="12">
        <v>0.32500000000000001</v>
      </c>
      <c r="D261" s="12">
        <v>0.1128</v>
      </c>
      <c r="E261" s="12">
        <v>0.32500000000000001</v>
      </c>
      <c r="F261" s="12">
        <v>0.1128</v>
      </c>
      <c r="G261" s="12" t="s">
        <v>127</v>
      </c>
      <c r="H261" s="12" t="s">
        <v>120</v>
      </c>
      <c r="I261" s="12" t="s">
        <v>114</v>
      </c>
      <c r="J261" s="12" t="s">
        <v>115</v>
      </c>
    </row>
    <row r="262" spans="2:10" s="8" customFormat="1" ht="12.75">
      <c r="B262" s="54" t="s">
        <v>517</v>
      </c>
      <c r="C262" s="12">
        <v>0.26500000000000001</v>
      </c>
      <c r="D262" s="12">
        <v>0.1096</v>
      </c>
      <c r="E262" s="12">
        <v>0.26500000000000001</v>
      </c>
      <c r="F262" s="12">
        <v>0.1096</v>
      </c>
      <c r="G262" s="12" t="s">
        <v>130</v>
      </c>
      <c r="H262" s="12" t="s">
        <v>113</v>
      </c>
      <c r="I262" s="12" t="s">
        <v>122</v>
      </c>
      <c r="J262" s="12" t="s">
        <v>123</v>
      </c>
    </row>
    <row r="263" spans="2:10" s="8" customFormat="1" ht="12.75">
      <c r="B263" s="54" t="s">
        <v>518</v>
      </c>
      <c r="C263" s="12">
        <v>0.21099999999999999</v>
      </c>
      <c r="D263" s="12">
        <v>0.10730000000000001</v>
      </c>
      <c r="E263" s="12">
        <v>0.21099999999999999</v>
      </c>
      <c r="F263" s="12">
        <v>0.10730000000000001</v>
      </c>
      <c r="G263" s="12" t="s">
        <v>120</v>
      </c>
      <c r="H263" s="12" t="s">
        <v>121</v>
      </c>
      <c r="I263" s="12" t="s">
        <v>133</v>
      </c>
      <c r="J263" s="12" t="s">
        <v>134</v>
      </c>
    </row>
    <row r="264" spans="2:10" s="8" customFormat="1" ht="12.75">
      <c r="B264" s="54" t="s">
        <v>519</v>
      </c>
      <c r="C264" s="12">
        <v>0.161</v>
      </c>
      <c r="D264" s="12">
        <v>0.1041</v>
      </c>
      <c r="E264" s="12">
        <v>0.161</v>
      </c>
      <c r="F264" s="12">
        <v>0.1041</v>
      </c>
      <c r="G264" s="12" t="s">
        <v>277</v>
      </c>
      <c r="H264" s="12" t="s">
        <v>167</v>
      </c>
      <c r="I264" s="12" t="s">
        <v>143</v>
      </c>
      <c r="J264" s="12" t="s">
        <v>144</v>
      </c>
    </row>
    <row r="265" spans="2:10" s="8" customFormat="1" ht="12.75">
      <c r="B265" s="54" t="s">
        <v>520</v>
      </c>
      <c r="C265" s="12">
        <v>0.13</v>
      </c>
      <c r="D265" s="12">
        <v>0.1002</v>
      </c>
      <c r="E265" s="12">
        <v>0.13</v>
      </c>
      <c r="F265" s="12">
        <v>0.1002</v>
      </c>
      <c r="G265" s="12" t="s">
        <v>140</v>
      </c>
      <c r="H265" s="12" t="s">
        <v>194</v>
      </c>
      <c r="I265" s="12" t="s">
        <v>151</v>
      </c>
      <c r="J265" s="12" t="s">
        <v>152</v>
      </c>
    </row>
    <row r="266" spans="2:10" s="8" customFormat="1" ht="12.75">
      <c r="B266" s="54" t="s">
        <v>521</v>
      </c>
      <c r="C266" s="12">
        <v>0.10199999999999999</v>
      </c>
      <c r="D266" s="12">
        <v>9.6799999999999997E-2</v>
      </c>
      <c r="E266" s="12">
        <v>0.10199999999999999</v>
      </c>
      <c r="F266" s="12">
        <v>9.6799999999999997E-2</v>
      </c>
      <c r="G266" s="12" t="s">
        <v>243</v>
      </c>
      <c r="H266" s="12" t="s">
        <v>286</v>
      </c>
      <c r="I266" s="12" t="s">
        <v>162</v>
      </c>
      <c r="J266" s="12" t="s">
        <v>163</v>
      </c>
    </row>
    <row r="267" spans="2:10" s="8" customFormat="1" ht="12.75">
      <c r="C267" s="49"/>
      <c r="D267" s="49"/>
      <c r="E267" s="49"/>
      <c r="F267" s="49"/>
      <c r="G267" s="49"/>
      <c r="H267" s="49"/>
      <c r="I267" s="49"/>
      <c r="J267" s="49"/>
    </row>
    <row r="268" spans="2:10" s="8" customFormat="1" ht="12.75">
      <c r="B268" s="54" t="s">
        <v>522</v>
      </c>
      <c r="C268" s="12">
        <v>0.32</v>
      </c>
      <c r="D268" s="12">
        <v>0.219</v>
      </c>
      <c r="E268" s="14"/>
      <c r="F268" s="14"/>
      <c r="G268" s="12">
        <v>240</v>
      </c>
      <c r="H268" s="14"/>
      <c r="I268" s="14">
        <v>9.8000000000000007</v>
      </c>
      <c r="J268" s="14"/>
    </row>
    <row r="269" spans="2:10" s="8" customFormat="1" ht="12.75">
      <c r="B269" s="54" t="s">
        <v>523</v>
      </c>
      <c r="C269" s="12">
        <v>0.253</v>
      </c>
      <c r="D269" s="12">
        <v>0.218</v>
      </c>
      <c r="E269" s="14"/>
      <c r="F269" s="14"/>
      <c r="G269" s="12">
        <v>280</v>
      </c>
      <c r="H269" s="14"/>
      <c r="I269" s="14">
        <v>12.4</v>
      </c>
      <c r="J269" s="14"/>
    </row>
    <row r="270" spans="2:10" s="8" customFormat="1" ht="12.75">
      <c r="B270" s="54" t="s">
        <v>524</v>
      </c>
      <c r="C270" s="12">
        <v>0.20599999999999999</v>
      </c>
      <c r="D270" s="12">
        <v>0.217</v>
      </c>
      <c r="E270" s="14"/>
      <c r="F270" s="14"/>
      <c r="G270" s="12">
        <v>335</v>
      </c>
      <c r="H270" s="14"/>
      <c r="I270" s="14">
        <v>15.5</v>
      </c>
      <c r="J270" s="14"/>
    </row>
    <row r="271" spans="2:10" s="8" customFormat="1" ht="12.75">
      <c r="B271" s="54" t="s">
        <v>525</v>
      </c>
      <c r="C271" s="12">
        <v>0.16400000000000001</v>
      </c>
      <c r="D271" s="12">
        <v>0.215</v>
      </c>
      <c r="E271" s="14"/>
      <c r="F271" s="14"/>
      <c r="G271" s="12">
        <v>380</v>
      </c>
      <c r="H271" s="14"/>
      <c r="I271" s="14">
        <v>19.2</v>
      </c>
      <c r="J271" s="14"/>
    </row>
    <row r="272" spans="2:10" s="8" customFormat="1" ht="12.75">
      <c r="B272" s="54" t="s">
        <v>526</v>
      </c>
      <c r="C272" s="12">
        <v>0.125</v>
      </c>
      <c r="D272" s="12">
        <v>0.2</v>
      </c>
      <c r="E272" s="14"/>
      <c r="F272" s="14"/>
      <c r="G272" s="12">
        <v>450</v>
      </c>
      <c r="H272" s="14"/>
      <c r="I272" s="14">
        <v>24.8</v>
      </c>
      <c r="J272" s="14"/>
    </row>
    <row r="273" spans="2:10" s="8" customFormat="1" ht="12.75">
      <c r="B273" s="54" t="s">
        <v>527</v>
      </c>
      <c r="C273" s="12">
        <v>0.1</v>
      </c>
      <c r="D273" s="12">
        <v>0.19</v>
      </c>
      <c r="E273" s="14"/>
      <c r="F273" s="14"/>
      <c r="G273" s="12">
        <v>510</v>
      </c>
      <c r="H273" s="14"/>
      <c r="I273" s="14">
        <v>31.1</v>
      </c>
      <c r="J273" s="14"/>
    </row>
    <row r="274" spans="2:10" s="8" customFormat="1" ht="12.75">
      <c r="B274" s="54" t="s">
        <v>528</v>
      </c>
      <c r="C274" s="12">
        <v>0.77800000000000002</v>
      </c>
      <c r="D274" s="12">
        <v>0.18099999999999999</v>
      </c>
      <c r="E274" s="14"/>
      <c r="F274" s="14"/>
      <c r="G274" s="12">
        <v>595</v>
      </c>
      <c r="H274" s="14"/>
      <c r="I274" s="14">
        <v>41.4</v>
      </c>
      <c r="J274" s="14"/>
    </row>
    <row r="275" spans="2:10" s="8" customFormat="1" ht="12.75">
      <c r="B275" s="54" t="s">
        <v>529</v>
      </c>
      <c r="C275" s="12">
        <v>6.0499999999999998E-2</v>
      </c>
      <c r="D275" s="12">
        <v>0.183</v>
      </c>
      <c r="E275" s="14"/>
      <c r="F275" s="14"/>
      <c r="G275" s="12">
        <v>690</v>
      </c>
      <c r="H275" s="14"/>
      <c r="I275" s="14">
        <v>51.8</v>
      </c>
      <c r="J275" s="14"/>
    </row>
    <row r="276" spans="2:10" s="8" customFormat="1" ht="12.75">
      <c r="B276" s="54" t="s">
        <v>530</v>
      </c>
      <c r="C276" s="12">
        <v>4.6899999999999997E-2</v>
      </c>
      <c r="D276" s="12">
        <v>0.183</v>
      </c>
      <c r="E276" s="14"/>
      <c r="F276" s="14"/>
      <c r="G276" s="12">
        <v>800</v>
      </c>
      <c r="H276" s="14"/>
      <c r="I276" s="14">
        <v>65.2</v>
      </c>
      <c r="J276" s="14"/>
    </row>
    <row r="277" spans="2:10" s="8" customFormat="1" ht="12.75">
      <c r="B277" s="54" t="s">
        <v>531</v>
      </c>
      <c r="C277" s="12">
        <v>3.6700000000000003E-2</v>
      </c>
      <c r="D277" s="12">
        <v>0.183</v>
      </c>
      <c r="E277" s="14"/>
      <c r="F277" s="14"/>
      <c r="G277" s="12">
        <v>910</v>
      </c>
      <c r="H277" s="14"/>
      <c r="I277" s="14">
        <v>82.8</v>
      </c>
      <c r="J277" s="14"/>
    </row>
    <row r="278" spans="2:10" s="8" customFormat="1" ht="12.75">
      <c r="B278" s="54" t="s">
        <v>532</v>
      </c>
      <c r="C278" s="12">
        <v>2.9100000000000001E-2</v>
      </c>
      <c r="D278" s="12">
        <v>0.183</v>
      </c>
      <c r="E278" s="14"/>
      <c r="F278" s="14"/>
      <c r="G278" s="12">
        <v>1010</v>
      </c>
      <c r="H278" s="14"/>
      <c r="I278" s="14">
        <v>104</v>
      </c>
      <c r="J278" s="14"/>
    </row>
  </sheetData>
  <sheetProtection password="CE28" sheet="1" objects="1" scenarios="1" formatCells="0" formatColumns="0" formatRows="0" sort="0" autoFilter="0" pivotTables="0"/>
  <mergeCells count="6">
    <mergeCell ref="I3:I4"/>
    <mergeCell ref="J3:J4"/>
    <mergeCell ref="B2:B4"/>
    <mergeCell ref="C2:D2"/>
    <mergeCell ref="E2:F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Voltage Drop</vt:lpstr>
      <vt:lpstr>Cable Detail</vt:lpstr>
      <vt:lpstr>pp</vt:lpstr>
      <vt:lpstr>size</vt:lpstr>
      <vt:lpstr>table</vt:lpstr>
      <vt:lpstr>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2018-11-03T12:35:06Z</dcterms:modified>
</cp:coreProperties>
</file>