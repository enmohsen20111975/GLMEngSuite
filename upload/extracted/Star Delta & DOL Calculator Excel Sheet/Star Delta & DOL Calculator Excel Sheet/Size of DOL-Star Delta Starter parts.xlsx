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filterPrivacy="1" defaultThemeVersion="124226"/>
  <xr:revisionPtr revIDLastSave="0" documentId="13_ncr:1000001_{9C811642-84C6-C349-A69C-A5FEFBFCA334}" xr6:coauthVersionLast="47" xr6:coauthVersionMax="47" xr10:uidLastSave="{00000000-0000-0000-0000-000000000000}"/>
  <bookViews>
    <workbookView xWindow="-60" yWindow="-60" windowWidth="15480" windowHeight="11640" tabRatio="378" xr2:uid="{00000000-000D-0000-FFFF-FFFF00000000}"/>
  </bookViews>
  <sheets>
    <sheet name="Starter" sheetId="23" r:id="rId1"/>
    <sheet name="Contactor Configuration" sheetId="2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3" i="23" l="1"/>
  <c r="F103" i="23"/>
  <c r="G102" i="23"/>
  <c r="F102" i="23"/>
  <c r="D115" i="23"/>
  <c r="D116" i="23"/>
  <c r="D117" i="23"/>
  <c r="D118" i="23"/>
  <c r="D119" i="23"/>
  <c r="D120" i="23"/>
  <c r="D104" i="23"/>
  <c r="D105" i="23"/>
  <c r="D106" i="23"/>
  <c r="D107" i="23"/>
  <c r="D108" i="23"/>
  <c r="D109" i="23"/>
  <c r="D110" i="23"/>
  <c r="D111" i="23"/>
  <c r="D112" i="23"/>
  <c r="D113" i="23"/>
  <c r="D114" i="23"/>
  <c r="D103" i="23"/>
  <c r="M6" i="23"/>
  <c r="E6" i="23"/>
  <c r="F8" i="23"/>
  <c r="G8" i="23"/>
  <c r="D22" i="23"/>
  <c r="P15" i="23"/>
  <c r="K42" i="23"/>
  <c r="L45" i="23"/>
  <c r="D45" i="23"/>
  <c r="P34" i="23"/>
  <c r="P33" i="23"/>
  <c r="P29" i="23"/>
  <c r="P28" i="23"/>
  <c r="H34" i="23"/>
  <c r="N34" i="23"/>
  <c r="H33" i="23"/>
  <c r="N33" i="23"/>
  <c r="H29" i="23"/>
  <c r="N29" i="23"/>
  <c r="H28" i="23"/>
  <c r="N28" i="23"/>
  <c r="N8" i="23"/>
  <c r="O8" i="23"/>
  <c r="L51" i="23"/>
  <c r="D19" i="23"/>
  <c r="D20" i="23"/>
  <c r="M49" i="23"/>
  <c r="E49" i="23"/>
  <c r="B62" i="23"/>
  <c r="F34" i="23"/>
  <c r="L18" i="23"/>
  <c r="L19" i="23"/>
  <c r="F33" i="23"/>
  <c r="D18" i="23"/>
  <c r="L22" i="23"/>
  <c r="L24" i="23"/>
  <c r="L25" i="23"/>
  <c r="L33" i="23"/>
  <c r="L29" i="23"/>
  <c r="L46" i="23"/>
  <c r="L34" i="23"/>
  <c r="L28" i="23"/>
  <c r="L47" i="23"/>
  <c r="L23" i="23"/>
  <c r="D21" i="23"/>
  <c r="D24" i="23"/>
  <c r="D41" i="23"/>
  <c r="D29" i="23"/>
  <c r="D28" i="23"/>
  <c r="D25" i="23"/>
  <c r="D39" i="23"/>
  <c r="D23" i="23"/>
  <c r="D33" i="23"/>
  <c r="D46" i="23"/>
  <c r="D47" i="23"/>
  <c r="D38" i="23"/>
  <c r="D34" i="23"/>
  <c r="F28" i="23"/>
  <c r="F29" i="23"/>
  <c r="L41" i="23"/>
  <c r="L39" i="23"/>
  <c r="L38" i="23"/>
  <c r="L48" i="23"/>
  <c r="L49" i="23"/>
  <c r="L20" i="23"/>
  <c r="L21" i="23"/>
</calcChain>
</file>

<file path=xl/sharedStrings.xml><?xml version="1.0" encoding="utf-8"?>
<sst xmlns="http://schemas.openxmlformats.org/spreadsheetml/2006/main" count="259" uniqueCount="159">
  <si>
    <t>KW</t>
  </si>
  <si>
    <t>Volt</t>
  </si>
  <si>
    <t>Transient Time Delay Setting</t>
  </si>
  <si>
    <t>OR</t>
  </si>
  <si>
    <t>HP</t>
  </si>
  <si>
    <t>Amp</t>
  </si>
  <si>
    <t>Contactor</t>
  </si>
  <si>
    <t>System Voltage</t>
  </si>
  <si>
    <t>Motor Size</t>
  </si>
  <si>
    <t>Motor Efficiency</t>
  </si>
  <si>
    <t>System P.F</t>
  </si>
  <si>
    <t>Application of Motor</t>
  </si>
  <si>
    <t>Application</t>
  </si>
  <si>
    <t>AC1</t>
  </si>
  <si>
    <t>Non-Inductive or Slightly Inductive ,Resistive Load</t>
  </si>
  <si>
    <t>AC2</t>
  </si>
  <si>
    <t>Slip Ring Motor</t>
  </si>
  <si>
    <t>AC3</t>
  </si>
  <si>
    <t>Squirrel Cage Motor</t>
  </si>
  <si>
    <t>AC4</t>
  </si>
  <si>
    <t>Rapid Start / Stop</t>
  </si>
  <si>
    <t>AC5a</t>
  </si>
  <si>
    <t>Switching of Electrical Discharge Lamp</t>
  </si>
  <si>
    <t>AC5b</t>
  </si>
  <si>
    <t>Switching of Electrical Incandescent Lamp</t>
  </si>
  <si>
    <t>AC6a</t>
  </si>
  <si>
    <t>Switching of Transformer</t>
  </si>
  <si>
    <t>AC6b</t>
  </si>
  <si>
    <t>Switching of Capacitor Bank</t>
  </si>
  <si>
    <t>AC7a</t>
  </si>
  <si>
    <t>Slightly Inductive Load in Household or same type load</t>
  </si>
  <si>
    <t>AC7b</t>
  </si>
  <si>
    <t>Motor Load in Household Application</t>
  </si>
  <si>
    <t>AC8a</t>
  </si>
  <si>
    <t>Hermetic refrigerant Compressor Motor with Manual O/L Reset</t>
  </si>
  <si>
    <t>AC8b</t>
  </si>
  <si>
    <t>Hermetic refrigerant Compressor Motor with Auto O/L Reset</t>
  </si>
  <si>
    <t>AC12</t>
  </si>
  <si>
    <t>AC13</t>
  </si>
  <si>
    <t>Control of Restive Load and Solid State with T/C Isolation</t>
  </si>
  <si>
    <t>AC14</t>
  </si>
  <si>
    <t>Control of Small Electro Magnetic Load ( &lt;72VA)</t>
  </si>
  <si>
    <t>AC15</t>
  </si>
  <si>
    <t>Control of Small Electro Magnetic Load ( &gt;72VA)</t>
  </si>
  <si>
    <t>Motor Full Load Current (Line):</t>
  </si>
  <si>
    <t>Motor Full Load Current (Phase):</t>
  </si>
  <si>
    <t>Making Cap</t>
  </si>
  <si>
    <t>Making / Breaking Capacity of Contactor:</t>
  </si>
  <si>
    <t>Type of Contactor:</t>
  </si>
  <si>
    <t>Main Contactor (58% of FLC Line):</t>
  </si>
  <si>
    <t>Delta Contactor (58% of FLC Line):</t>
  </si>
  <si>
    <t>Star Contactor  (33% of FLC Line):</t>
  </si>
  <si>
    <t>In the line (Putting the overload before the motor)</t>
  </si>
  <si>
    <t>Motor Starting Current :</t>
  </si>
  <si>
    <t>Place of Over Load Relay</t>
  </si>
  <si>
    <t>Motor Starting / Full Load Current</t>
  </si>
  <si>
    <t>Main Contactor (100% of FLC Line):</t>
  </si>
  <si>
    <t>Over Load Relay  Setting</t>
  </si>
  <si>
    <t>Relay Min (70% of FLC Phase):</t>
  </si>
  <si>
    <t>Relay Max (120% of FLC Phase):</t>
  </si>
  <si>
    <t>Relay Setting (100% of FLC Line):</t>
  </si>
  <si>
    <t>Relay Setting (58% of FLC Line):</t>
  </si>
  <si>
    <t>(Running)</t>
  </si>
  <si>
    <t>(Start,Transition,Running)</t>
  </si>
  <si>
    <t>(Start)</t>
  </si>
  <si>
    <t>Single Phase</t>
  </si>
  <si>
    <t>3 Phase Induction</t>
  </si>
  <si>
    <t>Synchronous</t>
  </si>
  <si>
    <t>Wound Rotor</t>
  </si>
  <si>
    <t>Direct Current</t>
  </si>
  <si>
    <t>Type of Motor</t>
  </si>
  <si>
    <t>Non-Time Delay Fuse</t>
  </si>
  <si>
    <t>Time Delay Fuse</t>
  </si>
  <si>
    <t>Inverse Time</t>
  </si>
  <si>
    <t>Instantaneous Trip</t>
  </si>
  <si>
    <t>Non-Time Delay Fuse (Max)</t>
  </si>
  <si>
    <t>Time Delay Fuse (Max)</t>
  </si>
  <si>
    <t>Instantaneous Trip Circuit Breaker (Max)</t>
  </si>
  <si>
    <t>Inverse Time Circuit Breaker (Max)</t>
  </si>
  <si>
    <r>
      <t>(1/</t>
    </r>
    <r>
      <rPr>
        <sz val="9"/>
        <color indexed="8"/>
        <rFont val="Calibri"/>
        <family val="2"/>
      </rPr>
      <t>√</t>
    </r>
    <r>
      <rPr>
        <sz val="9"/>
        <color indexed="8"/>
        <rFont val="Arial"/>
        <family val="2"/>
      </rPr>
      <t>3 Full Load Current)</t>
    </r>
  </si>
  <si>
    <r>
      <t>(1/</t>
    </r>
    <r>
      <rPr>
        <sz val="9"/>
        <color indexed="8"/>
        <rFont val="Arial"/>
        <family val="2"/>
      </rPr>
      <t>3 Full Load Current)</t>
    </r>
  </si>
  <si>
    <t>Fuse (As per NEC 430-52)</t>
  </si>
  <si>
    <t>Circuit Breaker (As per NEC 430-52)</t>
  </si>
  <si>
    <t>Control of Restive &amp; Solid State Load with optocoupler Isolation</t>
  </si>
  <si>
    <t>In the line (Putting the overload before the motor same as in DOL)</t>
  </si>
  <si>
    <t>In the windings (overload is placed after the Winding Split in to main and delta Contactor)</t>
  </si>
  <si>
    <t>Jignesh.parmar www.electricalnotes.wordpress.com jiguparmar@yahoo.com</t>
  </si>
  <si>
    <t>1 NO</t>
  </si>
  <si>
    <t>1 NC</t>
  </si>
  <si>
    <t>NO:13-14</t>
  </si>
  <si>
    <t>NC:21-22</t>
  </si>
  <si>
    <t>NO:13-14, 43-44</t>
  </si>
  <si>
    <t>NC:21-22, 31-32</t>
  </si>
  <si>
    <t>1 NO + 1NC</t>
  </si>
  <si>
    <t>2 NO + 1NC</t>
  </si>
  <si>
    <t>2 NO + 3NC</t>
  </si>
  <si>
    <t>NO:13-14, 53-54</t>
  </si>
  <si>
    <t>NC:21-22, 31-32, 41-42</t>
  </si>
  <si>
    <t>NO:13-14, 43-44, 53-54</t>
  </si>
  <si>
    <t>2 NO + 2NC</t>
  </si>
  <si>
    <t>3NO + 1NC</t>
  </si>
  <si>
    <t>NO:13-14, 33-34, 43-44</t>
  </si>
  <si>
    <t>2NO + 2NC</t>
  </si>
  <si>
    <t>NO:53-54. 83-84</t>
  </si>
  <si>
    <t>NC:61-62, 71-72</t>
  </si>
  <si>
    <t>1NO + 3NC</t>
  </si>
  <si>
    <t>1NO + 1NC</t>
  </si>
  <si>
    <t>NO:43-44</t>
  </si>
  <si>
    <t>NC:31-32</t>
  </si>
  <si>
    <t>MAIN CONTACTOR</t>
  </si>
  <si>
    <t>NO:53-54, 83-84</t>
  </si>
  <si>
    <t>AUXILIARY CONTECTOR</t>
  </si>
  <si>
    <t>MAIN CONTACTOR: 1-2, 3-4, 5-6</t>
  </si>
  <si>
    <t>NB: You can easily identify Whether Contactor is NO , NC from above Summary</t>
  </si>
  <si>
    <t>SUMMARY OF CONTACTOR</t>
  </si>
  <si>
    <t>ARRANGEMENT OF MAIN CONTACTOR &amp; AUXILIARY CONTACTOR</t>
  </si>
  <si>
    <t>Motor Rated Tourque</t>
  </si>
  <si>
    <t>Motor RPM</t>
  </si>
  <si>
    <t>Phase</t>
  </si>
  <si>
    <t>1 Phase</t>
  </si>
  <si>
    <t>3 Phase</t>
  </si>
  <si>
    <t>Motor Starting Torque</t>
  </si>
  <si>
    <t>(3x Full Load Current)</t>
  </si>
  <si>
    <t>(6 to 7 x Full Load Current)</t>
  </si>
  <si>
    <t>Motor Code</t>
  </si>
  <si>
    <t>Nm</t>
  </si>
  <si>
    <t>Code</t>
  </si>
  <si>
    <t>A</t>
  </si>
  <si>
    <t>B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</si>
  <si>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</si>
  <si>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</si>
  <si>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</si>
  <si>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</si>
  <si>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</si>
  <si>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</si>
  <si>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</si>
  <si>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</si>
  <si>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</si>
  <si>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</si>
  <si>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</si>
  <si>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R</t>
  </si>
  <si>
    <t>S</t>
  </si>
  <si>
    <t>T</t>
  </si>
  <si>
    <t>U</t>
  </si>
  <si>
    <t>V</t>
  </si>
  <si>
    <t>C</t>
  </si>
  <si>
    <t>Motor Torque /  Current</t>
  </si>
  <si>
    <t>Motor Rated Tourque (Full Load)</t>
  </si>
  <si>
    <t>lb-ft</t>
  </si>
  <si>
    <t>Motor Rated Tourque (Full Load):</t>
  </si>
  <si>
    <t>Motor Starting Torque:</t>
  </si>
  <si>
    <t>Lock Rotor Current IL(Min):</t>
  </si>
  <si>
    <t>Lock Rotor Current IL(Max):</t>
  </si>
  <si>
    <t>Min</t>
  </si>
  <si>
    <t>Max</t>
  </si>
  <si>
    <r>
      <rPr>
        <b/>
        <sz val="10"/>
        <color indexed="56"/>
        <rFont val="Arial"/>
        <family val="2"/>
      </rPr>
      <t>AUXILARY CONTACTOR: (NO) :</t>
    </r>
    <r>
      <rPr>
        <b/>
        <sz val="10"/>
        <color indexed="60"/>
        <rFont val="Arial"/>
        <family val="2"/>
      </rPr>
      <t xml:space="preserve"> 13-14, 33-34, 43-44, 53-54, 83-84</t>
    </r>
  </si>
  <si>
    <r>
      <rPr>
        <b/>
        <sz val="10"/>
        <color indexed="56"/>
        <rFont val="Arial"/>
        <family val="2"/>
      </rPr>
      <t xml:space="preserve">AUXILARY CONTACTOR: (NC) : </t>
    </r>
    <r>
      <rPr>
        <b/>
        <sz val="10"/>
        <color indexed="60"/>
        <rFont val="Arial"/>
        <family val="2"/>
      </rPr>
      <t>21-22, 31-32, 41-42, 61-62, 71-72</t>
    </r>
  </si>
  <si>
    <t>(9500xKw/RPM)</t>
  </si>
  <si>
    <t>(5252xHpxRPM)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</si>
</sst>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color indexed="8"/>
      <name val="Calibri"/>
      <family val="2"/>
    </font>
    <font>
      <b/>
      <sz val="10"/>
      <color indexed="60"/>
      <name val="Arial"/>
      <family val="2"/>
    </font>
    <font>
      <b/>
      <sz val="10"/>
      <color indexed="56"/>
      <name val="Arial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b/>
      <sz val="9"/>
      <color theme="5" tint="-0.499984740745262"/>
      <name val="Arial"/>
      <family val="2"/>
    </font>
    <font>
      <b/>
      <sz val="9"/>
      <color theme="1"/>
      <name val="Arial"/>
      <family val="2"/>
    </font>
    <font>
      <sz val="16"/>
      <color theme="1"/>
      <name val="Arial"/>
      <family val="2"/>
    </font>
    <font>
      <sz val="9"/>
      <color rgb="FF000000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C00000"/>
      <name val="Arial"/>
      <family val="2"/>
    </font>
    <font>
      <sz val="14"/>
      <color theme="1"/>
      <name val="Arial"/>
      <family val="2"/>
    </font>
    <font>
      <sz val="9"/>
      <color rgb="FFC00000"/>
      <name val="Arial"/>
      <family val="2"/>
    </font>
    <font>
      <b/>
      <sz val="9"/>
      <color rgb="FFFF0000"/>
      <name val="Arial"/>
      <family val="2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0"/>
      <name val="Arial"/>
      <family val="2"/>
    </font>
    <font>
      <sz val="9"/>
      <color rgb="FF00206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C0000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84">
    <xf numFmtId="0" fontId="0" fillId="0" borderId="0" xfId="0"/>
    <xf numFmtId="0" fontId="8" fillId="0" borderId="0" xfId="0" applyFont="1"/>
    <xf numFmtId="0" fontId="9" fillId="0" borderId="0" xfId="0" applyFont="1"/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9" fillId="3" borderId="0" xfId="0" applyFont="1" applyFill="1"/>
    <xf numFmtId="0" fontId="9" fillId="3" borderId="0" xfId="0" applyFont="1" applyFill="1" applyAlignment="1">
      <alignment horizontal="center" vertical="center"/>
    </xf>
    <xf numFmtId="0" fontId="9" fillId="4" borderId="1" xfId="0" applyFont="1" applyFill="1" applyBorder="1"/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center"/>
    </xf>
    <xf numFmtId="0" fontId="9" fillId="4" borderId="2" xfId="0" applyFont="1" applyFill="1" applyBorder="1"/>
    <xf numFmtId="0" fontId="9" fillId="4" borderId="3" xfId="0" applyFont="1" applyFill="1" applyBorder="1"/>
    <xf numFmtId="0" fontId="9" fillId="4" borderId="4" xfId="0" applyFont="1" applyFill="1" applyBorder="1"/>
    <xf numFmtId="0" fontId="9" fillId="4" borderId="5" xfId="0" applyFont="1" applyFill="1" applyBorder="1"/>
    <xf numFmtId="0" fontId="9" fillId="4" borderId="0" xfId="0" applyFont="1" applyFill="1" applyBorder="1" applyAlignment="1">
      <alignment horizontal="left"/>
    </xf>
    <xf numFmtId="0" fontId="9" fillId="4" borderId="0" xfId="0" applyFont="1" applyFill="1" applyBorder="1" applyAlignment="1">
      <alignment horizontal="center"/>
    </xf>
    <xf numFmtId="0" fontId="9" fillId="4" borderId="0" xfId="0" applyFont="1" applyFill="1" applyBorder="1"/>
    <xf numFmtId="0" fontId="9" fillId="4" borderId="0" xfId="0" applyFont="1" applyFill="1" applyBorder="1" applyAlignment="1"/>
    <xf numFmtId="1" fontId="9" fillId="4" borderId="0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2" fillId="4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5" borderId="0" xfId="0" applyFont="1" applyFill="1" applyBorder="1" applyAlignment="1">
      <alignment horizontal="center" vertical="center"/>
    </xf>
    <xf numFmtId="1" fontId="9" fillId="4" borderId="0" xfId="0" applyNumberFormat="1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 vertical="center"/>
    </xf>
    <xf numFmtId="0" fontId="13" fillId="4" borderId="0" xfId="0" applyFont="1" applyFill="1" applyBorder="1" applyAlignment="1"/>
    <xf numFmtId="9" fontId="9" fillId="3" borderId="0" xfId="0" applyNumberFormat="1" applyFont="1" applyFill="1" applyAlignment="1">
      <alignment horizontal="center" vertical="center"/>
    </xf>
    <xf numFmtId="0" fontId="9" fillId="4" borderId="6" xfId="0" applyFont="1" applyFill="1" applyBorder="1"/>
    <xf numFmtId="0" fontId="9" fillId="4" borderId="7" xfId="0" applyFont="1" applyFill="1" applyBorder="1" applyAlignment="1">
      <alignment horizontal="left"/>
    </xf>
    <xf numFmtId="0" fontId="9" fillId="4" borderId="7" xfId="0" applyFont="1" applyFill="1" applyBorder="1" applyAlignment="1">
      <alignment horizontal="center"/>
    </xf>
    <xf numFmtId="0" fontId="9" fillId="4" borderId="7" xfId="0" applyFont="1" applyFill="1" applyBorder="1"/>
    <xf numFmtId="0" fontId="9" fillId="4" borderId="8" xfId="0" applyFont="1" applyFill="1" applyBorder="1"/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9" fillId="4" borderId="0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1" fontId="13" fillId="4" borderId="0" xfId="0" applyNumberFormat="1" applyFont="1" applyFill="1" applyBorder="1" applyAlignment="1">
      <alignment horizontal="center" vertical="center"/>
    </xf>
    <xf numFmtId="1" fontId="12" fillId="4" borderId="0" xfId="0" applyNumberFormat="1" applyFont="1" applyFill="1" applyBorder="1" applyAlignment="1">
      <alignment horizontal="center" vertical="center"/>
    </xf>
    <xf numFmtId="0" fontId="9" fillId="4" borderId="5" xfId="0" applyNumberFormat="1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1" fontId="12" fillId="6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0" fontId="0" fillId="0" borderId="0" xfId="0" applyBorder="1"/>
    <xf numFmtId="0" fontId="9" fillId="0" borderId="26" xfId="0" applyFont="1" applyBorder="1"/>
    <xf numFmtId="0" fontId="9" fillId="0" borderId="0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4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13" fillId="0" borderId="0" xfId="0" applyFont="1" applyBorder="1" applyAlignment="1"/>
    <xf numFmtId="0" fontId="0" fillId="0" borderId="27" xfId="0" applyBorder="1"/>
    <xf numFmtId="0" fontId="9" fillId="0" borderId="28" xfId="0" applyFont="1" applyBorder="1"/>
    <xf numFmtId="0" fontId="9" fillId="0" borderId="29" xfId="0" applyFont="1" applyBorder="1"/>
    <xf numFmtId="0" fontId="0" fillId="0" borderId="30" xfId="0" applyBorder="1"/>
    <xf numFmtId="0" fontId="9" fillId="0" borderId="31" xfId="0" applyFont="1" applyBorder="1"/>
    <xf numFmtId="0" fontId="0" fillId="0" borderId="32" xfId="0" applyBorder="1"/>
    <xf numFmtId="0" fontId="9" fillId="0" borderId="33" xfId="0" applyFont="1" applyBorder="1"/>
    <xf numFmtId="0" fontId="9" fillId="0" borderId="34" xfId="0" applyFont="1" applyBorder="1"/>
    <xf numFmtId="0" fontId="9" fillId="0" borderId="30" xfId="0" applyFont="1" applyBorder="1"/>
    <xf numFmtId="0" fontId="9" fillId="0" borderId="32" xfId="0" applyFont="1" applyBorder="1"/>
    <xf numFmtId="0" fontId="9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31" xfId="0" applyBorder="1"/>
    <xf numFmtId="0" fontId="0" fillId="0" borderId="33" xfId="0" applyBorder="1"/>
    <xf numFmtId="0" fontId="0" fillId="0" borderId="34" xfId="0" applyBorder="1"/>
    <xf numFmtId="0" fontId="13" fillId="0" borderId="33" xfId="0" applyFont="1" applyBorder="1" applyAlignment="1"/>
    <xf numFmtId="0" fontId="16" fillId="7" borderId="12" xfId="0" applyFont="1" applyFill="1" applyBorder="1" applyAlignment="1">
      <alignment horizontal="center" vertical="center"/>
    </xf>
    <xf numFmtId="0" fontId="17" fillId="0" borderId="35" xfId="0" applyFont="1" applyBorder="1"/>
    <xf numFmtId="0" fontId="18" fillId="0" borderId="35" xfId="0" applyFont="1" applyBorder="1"/>
    <xf numFmtId="0" fontId="8" fillId="0" borderId="36" xfId="0" applyFont="1" applyBorder="1"/>
    <xf numFmtId="0" fontId="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30" xfId="0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1" xfId="0" applyBorder="1" applyAlignment="1">
      <alignment vertical="center"/>
    </xf>
    <xf numFmtId="0" fontId="18" fillId="0" borderId="35" xfId="0" applyFont="1" applyBorder="1" applyAlignment="1">
      <alignment vertical="center"/>
    </xf>
    <xf numFmtId="0" fontId="9" fillId="3" borderId="13" xfId="0" applyFont="1" applyFill="1" applyBorder="1" applyAlignment="1" applyProtection="1">
      <alignment horizontal="center"/>
      <protection locked="0"/>
    </xf>
    <xf numFmtId="0" fontId="9" fillId="3" borderId="13" xfId="0" applyFont="1" applyFill="1" applyBorder="1" applyProtection="1">
      <protection locked="0"/>
    </xf>
    <xf numFmtId="9" fontId="9" fillId="3" borderId="13" xfId="0" applyNumberFormat="1" applyFont="1" applyFill="1" applyBorder="1" applyAlignment="1" applyProtection="1">
      <alignment horizontal="center"/>
      <protection locked="0"/>
    </xf>
    <xf numFmtId="0" fontId="9" fillId="3" borderId="14" xfId="0" applyFont="1" applyFill="1" applyBorder="1" applyAlignment="1" applyProtection="1">
      <alignment horizontal="center"/>
      <protection locked="0"/>
    </xf>
    <xf numFmtId="0" fontId="20" fillId="4" borderId="0" xfId="1" applyFont="1" applyFill="1" applyBorder="1" applyAlignment="1" applyProtection="1">
      <alignment horizontal="center" vertical="center" wrapText="1"/>
    </xf>
    <xf numFmtId="0" fontId="9" fillId="3" borderId="14" xfId="0" applyNumberFormat="1" applyFont="1" applyFill="1" applyBorder="1" applyAlignment="1" applyProtection="1">
      <alignment horizontal="center"/>
      <protection locked="0"/>
    </xf>
    <xf numFmtId="2" fontId="9" fillId="4" borderId="0" xfId="0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 applyProtection="1">
      <alignment horizontal="center"/>
      <protection locked="0"/>
    </xf>
    <xf numFmtId="0" fontId="9" fillId="4" borderId="15" xfId="0" applyFont="1" applyFill="1" applyBorder="1" applyAlignment="1">
      <alignment horizontal="left" vertical="center"/>
    </xf>
    <xf numFmtId="1" fontId="12" fillId="4" borderId="16" xfId="0" applyNumberFormat="1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vertical="center"/>
    </xf>
    <xf numFmtId="0" fontId="9" fillId="4" borderId="17" xfId="0" applyFont="1" applyFill="1" applyBorder="1" applyAlignment="1">
      <alignment vertical="center"/>
    </xf>
    <xf numFmtId="0" fontId="9" fillId="4" borderId="18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vertical="center"/>
    </xf>
    <xf numFmtId="0" fontId="13" fillId="4" borderId="18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left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vertical="center"/>
    </xf>
    <xf numFmtId="0" fontId="9" fillId="4" borderId="22" xfId="0" applyFont="1" applyFill="1" applyBorder="1" applyAlignment="1">
      <alignment vertical="center"/>
    </xf>
    <xf numFmtId="1" fontId="9" fillId="4" borderId="16" xfId="0" applyNumberFormat="1" applyFont="1" applyFill="1" applyBorder="1" applyAlignment="1">
      <alignment horizontal="center" vertical="center"/>
    </xf>
    <xf numFmtId="1" fontId="13" fillId="4" borderId="21" xfId="0" applyNumberFormat="1" applyFont="1" applyFill="1" applyBorder="1" applyAlignment="1">
      <alignment horizontal="center" vertical="center"/>
    </xf>
    <xf numFmtId="1" fontId="12" fillId="4" borderId="21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0" fontId="9" fillId="4" borderId="20" xfId="0" applyFont="1" applyFill="1" applyBorder="1" applyAlignment="1">
      <alignment vertical="center"/>
    </xf>
    <xf numFmtId="0" fontId="21" fillId="4" borderId="20" xfId="0" applyFont="1" applyFill="1" applyBorder="1" applyAlignment="1">
      <alignment vertical="center"/>
    </xf>
    <xf numFmtId="0" fontId="9" fillId="4" borderId="21" xfId="0" applyFont="1" applyFill="1" applyBorder="1" applyAlignment="1">
      <alignment horizontal="left" vertical="center"/>
    </xf>
    <xf numFmtId="0" fontId="9" fillId="4" borderId="22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9" fillId="3" borderId="13" xfId="0" applyFont="1" applyFill="1" applyBorder="1" applyAlignment="1" applyProtection="1">
      <alignment horizontal="center"/>
      <protection locked="0"/>
    </xf>
    <xf numFmtId="0" fontId="14" fillId="2" borderId="0" xfId="0" applyFont="1" applyFill="1" applyAlignment="1">
      <alignment vertical="center"/>
    </xf>
    <xf numFmtId="0" fontId="14" fillId="4" borderId="4" xfId="0" applyFont="1" applyFill="1" applyBorder="1" applyAlignment="1">
      <alignment vertical="center"/>
    </xf>
    <xf numFmtId="0" fontId="14" fillId="4" borderId="5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0" fontId="22" fillId="0" borderId="0" xfId="0" applyFont="1"/>
    <xf numFmtId="0" fontId="23" fillId="0" borderId="0" xfId="0" applyFont="1"/>
    <xf numFmtId="0" fontId="24" fillId="4" borderId="0" xfId="0" applyFont="1" applyFill="1" applyBorder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9" fontId="1" fillId="2" borderId="0" xfId="0" applyNumberFormat="1" applyFont="1" applyFill="1" applyAlignment="1">
      <alignment horizontal="center" vertical="center"/>
    </xf>
    <xf numFmtId="9" fontId="1" fillId="3" borderId="0" xfId="0" applyNumberFormat="1" applyFont="1" applyFill="1" applyAlignment="1">
      <alignment horizontal="center" vertical="center"/>
    </xf>
    <xf numFmtId="0" fontId="1" fillId="3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/>
    </xf>
    <xf numFmtId="0" fontId="2" fillId="2" borderId="13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1" fillId="2" borderId="13" xfId="0" applyFont="1" applyFill="1" applyBorder="1"/>
    <xf numFmtId="0" fontId="1" fillId="2" borderId="1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2" fontId="1" fillId="2" borderId="13" xfId="0" applyNumberFormat="1" applyFont="1" applyFill="1" applyBorder="1"/>
    <xf numFmtId="0" fontId="9" fillId="4" borderId="0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/>
    </xf>
    <xf numFmtId="0" fontId="25" fillId="4" borderId="0" xfId="1" applyFont="1" applyFill="1" applyBorder="1" applyAlignment="1" applyProtection="1">
      <alignment horizontal="center" wrapText="1"/>
    </xf>
    <xf numFmtId="0" fontId="20" fillId="4" borderId="0" xfId="1" applyFont="1" applyFill="1" applyBorder="1" applyAlignment="1" applyProtection="1">
      <alignment horizontal="center" vertical="center" wrapText="1"/>
    </xf>
    <xf numFmtId="0" fontId="9" fillId="4" borderId="16" xfId="0" applyFont="1" applyFill="1" applyBorder="1" applyAlignment="1">
      <alignment horizontal="left" vertical="center"/>
    </xf>
    <xf numFmtId="0" fontId="9" fillId="4" borderId="17" xfId="0" applyFont="1" applyFill="1" applyBorder="1" applyAlignment="1">
      <alignment horizontal="left" vertical="center"/>
    </xf>
    <xf numFmtId="0" fontId="9" fillId="3" borderId="13" xfId="0" applyFont="1" applyFill="1" applyBorder="1" applyAlignment="1" applyProtection="1">
      <alignment horizontal="center"/>
      <protection locked="0"/>
    </xf>
    <xf numFmtId="0" fontId="9" fillId="3" borderId="13" xfId="0" applyFont="1" applyFill="1" applyBorder="1" applyAlignment="1" applyProtection="1">
      <alignment horizontal="left" vertical="center" wrapText="1"/>
      <protection locked="0"/>
    </xf>
    <xf numFmtId="0" fontId="1" fillId="3" borderId="13" xfId="0" applyFont="1" applyFill="1" applyBorder="1" applyAlignment="1" applyProtection="1">
      <alignment horizontal="left" vertical="center" wrapText="1"/>
      <protection locked="0"/>
    </xf>
    <xf numFmtId="0" fontId="13" fillId="8" borderId="23" xfId="0" applyFont="1" applyFill="1" applyBorder="1" applyAlignment="1">
      <alignment horizontal="center" vertical="center"/>
    </xf>
    <xf numFmtId="0" fontId="13" fillId="8" borderId="24" xfId="0" applyFont="1" applyFill="1" applyBorder="1" applyAlignment="1">
      <alignment horizontal="center" vertical="center"/>
    </xf>
    <xf numFmtId="0" fontId="13" fillId="8" borderId="25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16" fillId="9" borderId="23" xfId="0" applyFont="1" applyFill="1" applyBorder="1" applyAlignment="1">
      <alignment horizontal="center" vertical="center"/>
    </xf>
    <xf numFmtId="0" fontId="16" fillId="9" borderId="24" xfId="0" applyFont="1" applyFill="1" applyBorder="1" applyAlignment="1">
      <alignment horizontal="center" vertical="center"/>
    </xf>
    <xf numFmtId="0" fontId="16" fillId="9" borderId="25" xfId="0" applyFont="1" applyFill="1" applyBorder="1" applyAlignment="1">
      <alignment horizontal="center" vertical="center"/>
    </xf>
    <xf numFmtId="0" fontId="17" fillId="0" borderId="0" xfId="0" applyFont="1" applyAlignment="1">
      <alignment horizontal="left" wrapText="1"/>
    </xf>
    <xf numFmtId="0" fontId="24" fillId="7" borderId="23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  <xf numFmtId="0" fontId="24" fillId="7" borderId="25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left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5" borderId="2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 /><Relationship Id="rId3" Type="http://schemas.openxmlformats.org/officeDocument/2006/relationships/image" Target="../media/image3.png" /><Relationship Id="rId7" Type="http://schemas.openxmlformats.org/officeDocument/2006/relationships/image" Target="../media/image7.jpe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6" Type="http://schemas.openxmlformats.org/officeDocument/2006/relationships/image" Target="../media/image6.jpeg" /><Relationship Id="rId5" Type="http://schemas.openxmlformats.org/officeDocument/2006/relationships/image" Target="../media/image5.jpeg" /><Relationship Id="rId4" Type="http://schemas.openxmlformats.org/officeDocument/2006/relationships/image" Target="../media/image4.jpeg" /><Relationship Id="rId9" Type="http://schemas.openxmlformats.org/officeDocument/2006/relationships/image" Target="../media/image9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4</xdr:row>
      <xdr:rowOff>152400</xdr:rowOff>
    </xdr:from>
    <xdr:to>
      <xdr:col>5</xdr:col>
      <xdr:colOff>733425</xdr:colOff>
      <xdr:row>11</xdr:row>
      <xdr:rowOff>19050</xdr:rowOff>
    </xdr:to>
    <xdr:pic>
      <xdr:nvPicPr>
        <xdr:cNvPr id="10678" name="Picture 1" descr="Untitled11.png">
          <a:extLst>
            <a:ext uri="{FF2B5EF4-FFF2-40B4-BE49-F238E27FC236}">
              <a16:creationId xmlns:a16="http://schemas.microsoft.com/office/drawing/2014/main" id="{8F4F7010-D745-4672-8FD9-BC69C6D47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676275"/>
          <a:ext cx="5143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295275</xdr:colOff>
      <xdr:row>4</xdr:row>
      <xdr:rowOff>57150</xdr:rowOff>
    </xdr:from>
    <xdr:to>
      <xdr:col>14</xdr:col>
      <xdr:colOff>38100</xdr:colOff>
      <xdr:row>9</xdr:row>
      <xdr:rowOff>57150</xdr:rowOff>
    </xdr:to>
    <xdr:pic>
      <xdr:nvPicPr>
        <xdr:cNvPr id="10679" name="Picture 2" descr="Untitled222.png">
          <a:extLst>
            <a:ext uri="{FF2B5EF4-FFF2-40B4-BE49-F238E27FC236}">
              <a16:creationId xmlns:a16="http://schemas.microsoft.com/office/drawing/2014/main" id="{AED491EA-39EB-4A78-9025-235900FF2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0375" y="581025"/>
          <a:ext cx="10382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771525</xdr:colOff>
      <xdr:row>37</xdr:row>
      <xdr:rowOff>95250</xdr:rowOff>
    </xdr:from>
    <xdr:to>
      <xdr:col>6</xdr:col>
      <xdr:colOff>1419225</xdr:colOff>
      <xdr:row>41</xdr:row>
      <xdr:rowOff>38100</xdr:rowOff>
    </xdr:to>
    <xdr:pic>
      <xdr:nvPicPr>
        <xdr:cNvPr id="10680" name="Picture 3" descr="d.png">
          <a:extLst>
            <a:ext uri="{FF2B5EF4-FFF2-40B4-BE49-F238E27FC236}">
              <a16:creationId xmlns:a16="http://schemas.microsoft.com/office/drawing/2014/main" id="{EF85E9A3-01F5-47EB-8086-02DB7325A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8775" y="5314950"/>
          <a:ext cx="6477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1524000</xdr:colOff>
      <xdr:row>37</xdr:row>
      <xdr:rowOff>85725</xdr:rowOff>
    </xdr:from>
    <xdr:to>
      <xdr:col>14</xdr:col>
      <xdr:colOff>2162175</xdr:colOff>
      <xdr:row>41</xdr:row>
      <xdr:rowOff>19050</xdr:rowOff>
    </xdr:to>
    <xdr:pic>
      <xdr:nvPicPr>
        <xdr:cNvPr id="10681" name="Picture 4" descr="d.png">
          <a:extLst>
            <a:ext uri="{FF2B5EF4-FFF2-40B4-BE49-F238E27FC236}">
              <a16:creationId xmlns:a16="http://schemas.microsoft.com/office/drawing/2014/main" id="{2E0617A4-7FB6-4D7B-95E2-A529E3D12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5305425"/>
          <a:ext cx="6381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1028700</xdr:colOff>
      <xdr:row>32</xdr:row>
      <xdr:rowOff>28575</xdr:rowOff>
    </xdr:from>
    <xdr:to>
      <xdr:col>6</xdr:col>
      <xdr:colOff>1285875</xdr:colOff>
      <xdr:row>34</xdr:row>
      <xdr:rowOff>123825</xdr:rowOff>
    </xdr:to>
    <xdr:pic>
      <xdr:nvPicPr>
        <xdr:cNvPr id="10682" name="Picture 5" descr="d1.jpg">
          <a:extLst>
            <a:ext uri="{FF2B5EF4-FFF2-40B4-BE49-F238E27FC236}">
              <a16:creationId xmlns:a16="http://schemas.microsoft.com/office/drawing/2014/main" id="{704DFE71-8FA6-473C-B50E-F4824599B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4562475"/>
          <a:ext cx="2571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1771650</xdr:colOff>
      <xdr:row>32</xdr:row>
      <xdr:rowOff>28575</xdr:rowOff>
    </xdr:from>
    <xdr:to>
      <xdr:col>14</xdr:col>
      <xdr:colOff>2038350</xdr:colOff>
      <xdr:row>34</xdr:row>
      <xdr:rowOff>123825</xdr:rowOff>
    </xdr:to>
    <xdr:pic>
      <xdr:nvPicPr>
        <xdr:cNvPr id="10683" name="Picture 6" descr="d1.jpg">
          <a:extLst>
            <a:ext uri="{FF2B5EF4-FFF2-40B4-BE49-F238E27FC236}">
              <a16:creationId xmlns:a16="http://schemas.microsoft.com/office/drawing/2014/main" id="{278BE45E-EC34-4E86-9A42-345C5705B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92150" y="4562475"/>
          <a:ext cx="2667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1095375</xdr:colOff>
      <xdr:row>27</xdr:row>
      <xdr:rowOff>47625</xdr:rowOff>
    </xdr:from>
    <xdr:to>
      <xdr:col>6</xdr:col>
      <xdr:colOff>1247775</xdr:colOff>
      <xdr:row>29</xdr:row>
      <xdr:rowOff>123825</xdr:rowOff>
    </xdr:to>
    <xdr:pic>
      <xdr:nvPicPr>
        <xdr:cNvPr id="10684" name="Picture 7" descr="d2.jpg">
          <a:extLst>
            <a:ext uri="{FF2B5EF4-FFF2-40B4-BE49-F238E27FC236}">
              <a16:creationId xmlns:a16="http://schemas.microsoft.com/office/drawing/2014/main" id="{3EEB5AC8-2C48-4F2C-964C-9292927DE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3905250"/>
          <a:ext cx="1524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1819275</xdr:colOff>
      <xdr:row>27</xdr:row>
      <xdr:rowOff>19050</xdr:rowOff>
    </xdr:from>
    <xdr:to>
      <xdr:col>14</xdr:col>
      <xdr:colOff>1990725</xdr:colOff>
      <xdr:row>29</xdr:row>
      <xdr:rowOff>133350</xdr:rowOff>
    </xdr:to>
    <xdr:pic>
      <xdr:nvPicPr>
        <xdr:cNvPr id="10685" name="Picture 8" descr="d2.jpg">
          <a:extLst>
            <a:ext uri="{FF2B5EF4-FFF2-40B4-BE49-F238E27FC236}">
              <a16:creationId xmlns:a16="http://schemas.microsoft.com/office/drawing/2014/main" id="{AC94226F-0BB1-4EF8-A88D-8D72A94FD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9775" y="3876675"/>
          <a:ext cx="1714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914400</xdr:colOff>
      <xdr:row>44</xdr:row>
      <xdr:rowOff>38100</xdr:rowOff>
    </xdr:from>
    <xdr:to>
      <xdr:col>6</xdr:col>
      <xdr:colOff>1438275</xdr:colOff>
      <xdr:row>48</xdr:row>
      <xdr:rowOff>85725</xdr:rowOff>
    </xdr:to>
    <xdr:pic>
      <xdr:nvPicPr>
        <xdr:cNvPr id="10686" name="Picture 10" descr="untitled.bmp">
          <a:extLst>
            <a:ext uri="{FF2B5EF4-FFF2-40B4-BE49-F238E27FC236}">
              <a16:creationId xmlns:a16="http://schemas.microsoft.com/office/drawing/2014/main" id="{D6C51AD1-BD9F-4903-95E1-0CEF76504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6248400"/>
          <a:ext cx="5238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1676400</xdr:colOff>
      <xdr:row>44</xdr:row>
      <xdr:rowOff>66675</xdr:rowOff>
    </xdr:from>
    <xdr:to>
      <xdr:col>14</xdr:col>
      <xdr:colOff>2200275</xdr:colOff>
      <xdr:row>48</xdr:row>
      <xdr:rowOff>104775</xdr:rowOff>
    </xdr:to>
    <xdr:pic>
      <xdr:nvPicPr>
        <xdr:cNvPr id="10687" name="Picture 11" descr="untitled.bmp">
          <a:extLst>
            <a:ext uri="{FF2B5EF4-FFF2-40B4-BE49-F238E27FC236}">
              <a16:creationId xmlns:a16="http://schemas.microsoft.com/office/drawing/2014/main" id="{FCA6229D-AAF1-4110-B986-350F22076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276975"/>
          <a:ext cx="5238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95249</xdr:colOff>
      <xdr:row>1</xdr:row>
      <xdr:rowOff>52917</xdr:rowOff>
    </xdr:from>
    <xdr:to>
      <xdr:col>5</xdr:col>
      <xdr:colOff>677333</xdr:colOff>
      <xdr:row>3</xdr:row>
      <xdr:rowOff>10584</xdr:rowOff>
    </xdr:to>
    <xdr:sp macro="" textlink="">
      <xdr:nvSpPr>
        <xdr:cNvPr id="12" name="Up Ribbon 11">
          <a:extLst>
            <a:ext uri="{FF2B5EF4-FFF2-40B4-BE49-F238E27FC236}">
              <a16:creationId xmlns:a16="http://schemas.microsoft.com/office/drawing/2014/main" id="{D89AC374-8764-47D7-8383-66DBA410A18A}"/>
            </a:ext>
          </a:extLst>
        </xdr:cNvPr>
        <xdr:cNvSpPr/>
      </xdr:nvSpPr>
      <xdr:spPr>
        <a:xfrm>
          <a:off x="253999" y="137584"/>
          <a:ext cx="3767667" cy="296333"/>
        </a:xfrm>
        <a:prstGeom prst="ribbon2">
          <a:avLst/>
        </a:prstGeom>
        <a:solidFill>
          <a:srgbClr val="5FFB1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16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DOL STARTER</a:t>
          </a:r>
        </a:p>
      </xdr:txBody>
    </xdr:sp>
    <xdr:clientData/>
  </xdr:twoCellAnchor>
  <xdr:twoCellAnchor>
    <xdr:from>
      <xdr:col>10</xdr:col>
      <xdr:colOff>78315</xdr:colOff>
      <xdr:row>1</xdr:row>
      <xdr:rowOff>67734</xdr:rowOff>
    </xdr:from>
    <xdr:to>
      <xdr:col>14</xdr:col>
      <xdr:colOff>21167</xdr:colOff>
      <xdr:row>3</xdr:row>
      <xdr:rowOff>25401</xdr:rowOff>
    </xdr:to>
    <xdr:sp macro="" textlink="">
      <xdr:nvSpPr>
        <xdr:cNvPr id="15" name="Up Ribbon 14">
          <a:extLst>
            <a:ext uri="{FF2B5EF4-FFF2-40B4-BE49-F238E27FC236}">
              <a16:creationId xmlns:a16="http://schemas.microsoft.com/office/drawing/2014/main" id="{E01FE18A-3CA8-4DB0-91CA-6FD8952E4C3F}"/>
            </a:ext>
          </a:extLst>
        </xdr:cNvPr>
        <xdr:cNvSpPr/>
      </xdr:nvSpPr>
      <xdr:spPr>
        <a:xfrm>
          <a:off x="6650565" y="152401"/>
          <a:ext cx="4525435" cy="296333"/>
        </a:xfrm>
        <a:prstGeom prst="ribbon2">
          <a:avLst/>
        </a:prstGeom>
        <a:solidFill>
          <a:srgbClr val="22D2E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16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STAR-DELTA STARTER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http://www.electricalnotes.wordpress.com/" TargetMode="External" /><Relationship Id="rId1" Type="http://schemas.openxmlformats.org/officeDocument/2006/relationships/hyperlink" Target="http://www.electricalnotes.wordpress.com/" TargetMode="External" /><Relationship Id="rId4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499984740745262"/>
  </sheetPr>
  <dimension ref="A1:Z147"/>
  <sheetViews>
    <sheetView tabSelected="1" topLeftCell="B1" zoomScale="90" zoomScaleNormal="90" workbookViewId="0">
      <selection activeCell="D7" sqref="D7:E7"/>
    </sheetView>
  </sheetViews>
  <sheetFormatPr defaultColWidth="9.14453125" defaultRowHeight="12.75" x14ac:dyDescent="0.15"/>
  <cols>
    <col min="1" max="1" width="1.07421875" style="6" customWidth="1"/>
    <col min="2" max="2" width="1.34375" style="6" customWidth="1"/>
    <col min="3" max="3" width="32.5546875" style="38" customWidth="1"/>
    <col min="4" max="4" width="10.0859375" style="39" customWidth="1"/>
    <col min="5" max="5" width="11.8359375" style="6" customWidth="1"/>
    <col min="6" max="6" width="13.046875" style="6" customWidth="1"/>
    <col min="7" max="7" width="30.66796875" style="6" customWidth="1"/>
    <col min="8" max="8" width="2.5546875" style="6" customWidth="1"/>
    <col min="9" max="9" width="0.8046875" style="6" customWidth="1"/>
    <col min="10" max="10" width="1.34375" style="6" customWidth="1"/>
    <col min="11" max="11" width="32.5546875" style="6" customWidth="1"/>
    <col min="12" max="12" width="9.81640625" style="39" customWidth="1"/>
    <col min="13" max="13" width="6.9921875" style="6" customWidth="1"/>
    <col min="14" max="14" width="19.37109375" style="6" customWidth="1"/>
    <col min="15" max="15" width="35.109375" style="6" customWidth="1"/>
    <col min="16" max="16" width="1.74609375" style="6" customWidth="1"/>
    <col min="17" max="17" width="5.24609375" style="6" customWidth="1"/>
    <col min="18" max="18" width="6.3203125" style="6" customWidth="1"/>
    <col min="19" max="19" width="9.14453125" style="6"/>
    <col min="20" max="20" width="23.13671875" style="6" customWidth="1"/>
    <col min="21" max="21" width="9.14453125" style="6"/>
    <col min="22" max="22" width="63.8984375" style="6" customWidth="1"/>
    <col min="23" max="23" width="19.7734375" style="6" customWidth="1"/>
    <col min="24" max="24" width="19.90625" style="7" customWidth="1"/>
    <col min="25" max="25" width="18.0234375" style="6" customWidth="1"/>
    <col min="26" max="26" width="12.375" style="6" customWidth="1"/>
    <col min="27" max="16384" width="9.14453125" style="6"/>
  </cols>
  <sheetData>
    <row r="1" spans="1:25" ht="6.75" customHeight="1" thickBot="1" x14ac:dyDescent="0.2">
      <c r="A1" s="3"/>
      <c r="B1" s="3"/>
      <c r="C1" s="4"/>
      <c r="D1" s="5"/>
      <c r="E1" s="3"/>
      <c r="F1" s="3"/>
      <c r="G1" s="3"/>
      <c r="H1" s="3"/>
      <c r="I1" s="3"/>
      <c r="J1" s="3"/>
      <c r="K1" s="3"/>
      <c r="L1" s="5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0"/>
      <c r="Y1" s="3"/>
    </row>
    <row r="2" spans="1:25" ht="7.5" customHeight="1" x14ac:dyDescent="0.15">
      <c r="A2" s="3"/>
      <c r="B2" s="8"/>
      <c r="C2" s="9"/>
      <c r="D2" s="10"/>
      <c r="E2" s="11"/>
      <c r="F2" s="11"/>
      <c r="G2" s="11"/>
      <c r="H2" s="12"/>
      <c r="I2" s="3"/>
      <c r="J2" s="8"/>
      <c r="K2" s="11"/>
      <c r="L2" s="10"/>
      <c r="M2" s="11"/>
      <c r="N2" s="11"/>
      <c r="O2" s="11"/>
      <c r="P2" s="12"/>
      <c r="Q2" s="3"/>
      <c r="R2" s="3"/>
      <c r="S2" s="3"/>
      <c r="T2" s="3"/>
      <c r="U2" s="3"/>
      <c r="V2" s="3"/>
      <c r="W2" s="3"/>
      <c r="X2" s="40"/>
      <c r="Y2" s="3"/>
    </row>
    <row r="3" spans="1:25" s="131" customFormat="1" ht="19.5" customHeight="1" x14ac:dyDescent="0.2">
      <c r="A3" s="128"/>
      <c r="B3" s="129"/>
      <c r="C3" s="134"/>
      <c r="D3" s="134"/>
      <c r="E3" s="134"/>
      <c r="F3" s="134"/>
      <c r="G3" s="161" t="s">
        <v>86</v>
      </c>
      <c r="H3" s="130"/>
      <c r="I3" s="128"/>
      <c r="J3" s="129"/>
      <c r="K3" s="134"/>
      <c r="L3" s="134"/>
      <c r="M3" s="134"/>
      <c r="N3" s="134"/>
      <c r="O3" s="162" t="s">
        <v>86</v>
      </c>
      <c r="P3" s="130"/>
      <c r="Q3" s="128"/>
      <c r="R3" s="128"/>
      <c r="S3" s="128"/>
      <c r="T3" s="128"/>
      <c r="U3" s="128"/>
      <c r="V3" s="128"/>
      <c r="W3" s="128"/>
      <c r="X3" s="41"/>
      <c r="Y3" s="128"/>
    </row>
    <row r="4" spans="1:25" ht="7.5" customHeight="1" x14ac:dyDescent="0.15">
      <c r="A4" s="3"/>
      <c r="B4" s="13"/>
      <c r="C4" s="15"/>
      <c r="D4" s="16"/>
      <c r="E4" s="17"/>
      <c r="F4" s="17"/>
      <c r="G4" s="161"/>
      <c r="H4" s="14"/>
      <c r="I4" s="3"/>
      <c r="J4" s="13"/>
      <c r="K4" s="17"/>
      <c r="L4" s="16"/>
      <c r="M4" s="17"/>
      <c r="N4" s="43"/>
      <c r="O4" s="162"/>
      <c r="P4" s="14"/>
      <c r="Q4" s="3"/>
      <c r="R4" s="3"/>
      <c r="S4" s="3"/>
      <c r="T4" s="3"/>
      <c r="U4" s="3"/>
      <c r="V4" s="3"/>
      <c r="W4" s="3"/>
      <c r="X4" s="3"/>
      <c r="Y4" s="3"/>
    </row>
    <row r="5" spans="1:25" ht="12.75" customHeight="1" x14ac:dyDescent="0.15">
      <c r="A5" s="3"/>
      <c r="B5" s="13"/>
      <c r="C5" s="126" t="s">
        <v>7</v>
      </c>
      <c r="D5" s="101">
        <v>415</v>
      </c>
      <c r="E5" s="17" t="s">
        <v>1</v>
      </c>
      <c r="F5" s="18"/>
      <c r="G5" s="161"/>
      <c r="H5" s="14"/>
      <c r="I5" s="3"/>
      <c r="J5" s="13"/>
      <c r="K5" s="46" t="s">
        <v>7</v>
      </c>
      <c r="L5" s="98">
        <v>415</v>
      </c>
      <c r="M5" s="17" t="s">
        <v>1</v>
      </c>
      <c r="N5" s="17"/>
      <c r="O5" s="162"/>
      <c r="P5" s="14"/>
      <c r="Q5" s="3"/>
      <c r="R5" s="3"/>
      <c r="S5" s="3"/>
      <c r="T5" s="3"/>
      <c r="U5" s="3"/>
      <c r="V5" s="3"/>
      <c r="W5" s="3"/>
      <c r="X5" s="3"/>
      <c r="Y5" s="3"/>
    </row>
    <row r="6" spans="1:25" ht="12.75" customHeight="1" x14ac:dyDescent="0.15">
      <c r="A6" s="3"/>
      <c r="B6" s="13"/>
      <c r="C6" s="126" t="s">
        <v>118</v>
      </c>
      <c r="D6" s="101" t="s">
        <v>119</v>
      </c>
      <c r="E6" s="15">
        <f>IF(D6=C65,1,3)</f>
        <v>1</v>
      </c>
      <c r="F6" s="18"/>
      <c r="G6" s="18"/>
      <c r="H6" s="14"/>
      <c r="I6" s="3"/>
      <c r="J6" s="13"/>
      <c r="K6" s="46" t="s">
        <v>118</v>
      </c>
      <c r="L6" s="101" t="s">
        <v>120</v>
      </c>
      <c r="M6" s="15">
        <f>IF(L6=C65,1,3)</f>
        <v>3</v>
      </c>
      <c r="N6" s="17"/>
      <c r="O6" s="102"/>
      <c r="P6" s="14"/>
      <c r="Q6" s="3"/>
      <c r="R6" s="3"/>
      <c r="S6" s="3"/>
      <c r="T6" s="3"/>
      <c r="U6" s="3"/>
      <c r="V6" s="3"/>
      <c r="W6" s="3"/>
      <c r="X6" s="3"/>
      <c r="Y6" s="3"/>
    </row>
    <row r="7" spans="1:25" ht="12.75" customHeight="1" x14ac:dyDescent="0.15">
      <c r="A7" s="3"/>
      <c r="B7" s="13"/>
      <c r="C7" s="126" t="s">
        <v>70</v>
      </c>
      <c r="D7" s="165" t="s">
        <v>67</v>
      </c>
      <c r="E7" s="165"/>
      <c r="F7" s="18"/>
      <c r="G7" s="18"/>
      <c r="H7" s="14"/>
      <c r="I7" s="3"/>
      <c r="J7" s="13"/>
      <c r="K7" s="126" t="s">
        <v>70</v>
      </c>
      <c r="L7" s="165" t="s">
        <v>66</v>
      </c>
      <c r="M7" s="165"/>
      <c r="N7" s="17"/>
      <c r="O7" s="17"/>
      <c r="P7" s="14"/>
      <c r="Q7" s="3"/>
      <c r="R7" s="3"/>
      <c r="S7" s="3"/>
      <c r="T7" s="3"/>
      <c r="U7" s="3"/>
      <c r="V7" s="3"/>
      <c r="W7" s="3"/>
      <c r="X7" s="3"/>
      <c r="Y7" s="3"/>
    </row>
    <row r="8" spans="1:25" x14ac:dyDescent="0.15">
      <c r="A8" s="3"/>
      <c r="B8" s="13"/>
      <c r="C8" s="126" t="s">
        <v>8</v>
      </c>
      <c r="D8" s="98">
        <v>5</v>
      </c>
      <c r="E8" s="99" t="s">
        <v>4</v>
      </c>
      <c r="F8" s="104">
        <f>IF(E8="KW",D8,D8*0.746)</f>
        <v>3.73</v>
      </c>
      <c r="G8" s="16">
        <f>F8/0.746</f>
        <v>5</v>
      </c>
      <c r="H8" s="14"/>
      <c r="I8" s="3"/>
      <c r="J8" s="13"/>
      <c r="K8" s="46" t="s">
        <v>8</v>
      </c>
      <c r="L8" s="98">
        <v>10</v>
      </c>
      <c r="M8" s="99" t="s">
        <v>4</v>
      </c>
      <c r="N8" s="19">
        <f>IF(M8="KW",L8,L8*0.746)</f>
        <v>7.46</v>
      </c>
      <c r="O8" s="29">
        <f>N8/0.746</f>
        <v>10</v>
      </c>
      <c r="P8" s="20"/>
      <c r="Q8" s="5"/>
      <c r="R8" s="5"/>
      <c r="S8" s="3"/>
      <c r="T8" s="3"/>
      <c r="U8" s="3"/>
      <c r="V8" s="3"/>
      <c r="W8" s="3"/>
      <c r="X8" s="3"/>
      <c r="Y8" s="3"/>
    </row>
    <row r="9" spans="1:25" x14ac:dyDescent="0.15">
      <c r="A9" s="3"/>
      <c r="B9" s="13"/>
      <c r="C9" s="126" t="s">
        <v>124</v>
      </c>
      <c r="D9" s="127" t="s">
        <v>127</v>
      </c>
      <c r="E9" s="104"/>
      <c r="F9" s="104"/>
      <c r="G9" s="16"/>
      <c r="H9" s="14"/>
      <c r="I9" s="3"/>
      <c r="J9" s="13"/>
      <c r="K9" s="126" t="s">
        <v>124</v>
      </c>
      <c r="L9" s="105" t="s">
        <v>127</v>
      </c>
      <c r="M9" s="104"/>
      <c r="N9" s="19"/>
      <c r="O9" s="29"/>
      <c r="P9" s="20"/>
      <c r="Q9" s="5"/>
      <c r="R9" s="5"/>
      <c r="S9" s="3"/>
      <c r="T9" s="3"/>
      <c r="U9" s="3"/>
      <c r="V9" s="3"/>
      <c r="W9" s="3"/>
      <c r="X9" s="3"/>
      <c r="Y9" s="3"/>
    </row>
    <row r="10" spans="1:25" x14ac:dyDescent="0.15">
      <c r="A10" s="3"/>
      <c r="B10" s="13"/>
      <c r="C10" s="126" t="s">
        <v>9</v>
      </c>
      <c r="D10" s="100">
        <v>0.8</v>
      </c>
      <c r="E10" s="17"/>
      <c r="F10" s="17"/>
      <c r="G10" s="17"/>
      <c r="H10" s="14"/>
      <c r="I10" s="3"/>
      <c r="J10" s="13"/>
      <c r="K10" s="46" t="s">
        <v>9</v>
      </c>
      <c r="L10" s="100">
        <v>1</v>
      </c>
      <c r="M10" s="17"/>
      <c r="N10" s="17"/>
      <c r="O10" s="17"/>
      <c r="P10" s="14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15">
      <c r="A11" s="3"/>
      <c r="B11" s="13"/>
      <c r="C11" s="126" t="s">
        <v>117</v>
      </c>
      <c r="D11" s="103">
        <v>750</v>
      </c>
      <c r="E11" s="17"/>
      <c r="F11" s="17"/>
      <c r="G11" s="17"/>
      <c r="H11" s="14"/>
      <c r="I11" s="3"/>
      <c r="J11" s="13"/>
      <c r="K11" s="126" t="s">
        <v>117</v>
      </c>
      <c r="L11" s="103">
        <v>600</v>
      </c>
      <c r="M11" s="17"/>
      <c r="N11" s="17"/>
      <c r="O11" s="17"/>
      <c r="P11" s="14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15">
      <c r="A12" s="3"/>
      <c r="B12" s="13"/>
      <c r="C12" s="126" t="s">
        <v>10</v>
      </c>
      <c r="D12" s="101">
        <v>0.8</v>
      </c>
      <c r="E12" s="17"/>
      <c r="F12" s="17"/>
      <c r="G12" s="17"/>
      <c r="H12" s="14"/>
      <c r="I12" s="3"/>
      <c r="J12" s="13"/>
      <c r="K12" s="46" t="s">
        <v>10</v>
      </c>
      <c r="L12" s="101">
        <v>0.8</v>
      </c>
      <c r="M12" s="17"/>
      <c r="N12" s="17"/>
      <c r="O12" s="17"/>
      <c r="P12" s="14"/>
      <c r="Q12" s="3"/>
      <c r="R12" s="3"/>
      <c r="S12" s="3"/>
      <c r="T12" s="3"/>
      <c r="U12" s="3"/>
      <c r="V12" s="3"/>
      <c r="W12" s="3"/>
      <c r="X12" s="3"/>
      <c r="Y12" s="3"/>
    </row>
    <row r="13" spans="1:25" s="48" customFormat="1" ht="12" customHeight="1" x14ac:dyDescent="0.2">
      <c r="A13" s="23"/>
      <c r="B13" s="44"/>
      <c r="C13" s="126" t="s">
        <v>11</v>
      </c>
      <c r="D13" s="166" t="s">
        <v>32</v>
      </c>
      <c r="E13" s="166"/>
      <c r="F13" s="166"/>
      <c r="G13" s="166"/>
      <c r="H13" s="47"/>
      <c r="I13" s="23"/>
      <c r="J13" s="44"/>
      <c r="K13" s="126" t="s">
        <v>11</v>
      </c>
      <c r="L13" s="166" t="s">
        <v>14</v>
      </c>
      <c r="M13" s="166"/>
      <c r="N13" s="166"/>
      <c r="O13" s="166"/>
      <c r="P13" s="21"/>
      <c r="Q13" s="22"/>
      <c r="R13" s="22"/>
      <c r="S13" s="23"/>
      <c r="T13" s="23"/>
      <c r="U13" s="23"/>
      <c r="V13" s="23"/>
      <c r="W13" s="23"/>
      <c r="X13" s="23"/>
      <c r="Y13" s="23"/>
    </row>
    <row r="14" spans="1:25" ht="6.75" customHeight="1" x14ac:dyDescent="0.15">
      <c r="A14" s="3"/>
      <c r="B14" s="13"/>
      <c r="C14" s="126"/>
      <c r="D14" s="16"/>
      <c r="E14" s="17"/>
      <c r="F14" s="17"/>
      <c r="G14" s="17"/>
      <c r="H14" s="14"/>
      <c r="I14" s="3"/>
      <c r="J14" s="13"/>
      <c r="K14" s="46"/>
      <c r="L14" s="16"/>
      <c r="M14" s="17"/>
      <c r="N14" s="17"/>
      <c r="O14" s="17"/>
      <c r="P14" s="14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15">
      <c r="A15" s="3"/>
      <c r="B15" s="13"/>
      <c r="C15" s="24" t="s">
        <v>54</v>
      </c>
      <c r="D15" s="159" t="s">
        <v>52</v>
      </c>
      <c r="E15" s="159"/>
      <c r="F15" s="159"/>
      <c r="G15" s="159"/>
      <c r="H15" s="14"/>
      <c r="I15" s="3"/>
      <c r="J15" s="13"/>
      <c r="K15" s="24" t="s">
        <v>54</v>
      </c>
      <c r="L15" s="167" t="s">
        <v>85</v>
      </c>
      <c r="M15" s="167"/>
      <c r="N15" s="167"/>
      <c r="O15" s="167"/>
      <c r="P15" s="14">
        <f>IF(L15=C95,1,0)</f>
        <v>0</v>
      </c>
      <c r="Q15" s="3"/>
      <c r="R15" s="3"/>
      <c r="S15" s="3"/>
      <c r="T15" s="3"/>
      <c r="U15" s="3"/>
      <c r="V15" s="3"/>
      <c r="W15" s="3"/>
      <c r="X15" s="3"/>
      <c r="Y15" s="3"/>
    </row>
    <row r="16" spans="1:25" ht="7.5" customHeight="1" x14ac:dyDescent="0.15">
      <c r="A16" s="3"/>
      <c r="B16" s="13"/>
      <c r="C16" s="25"/>
      <c r="D16" s="25"/>
      <c r="E16" s="25"/>
      <c r="F16" s="25"/>
      <c r="G16" s="25"/>
      <c r="H16" s="14"/>
      <c r="I16" s="3"/>
      <c r="J16" s="13"/>
      <c r="K16" s="25"/>
      <c r="L16" s="25"/>
      <c r="M16" s="25"/>
      <c r="N16" s="25"/>
      <c r="O16" s="25"/>
      <c r="P16" s="26"/>
      <c r="Q16" s="27"/>
      <c r="R16" s="27"/>
      <c r="S16" s="27"/>
      <c r="T16" s="27"/>
      <c r="U16" s="27"/>
      <c r="V16" s="3"/>
      <c r="W16" s="3"/>
      <c r="X16" s="3"/>
      <c r="Y16" s="3"/>
    </row>
    <row r="17" spans="1:25" s="48" customFormat="1" x14ac:dyDescent="0.15">
      <c r="A17" s="23"/>
      <c r="B17" s="44"/>
      <c r="C17" s="28" t="s">
        <v>146</v>
      </c>
      <c r="D17" s="45"/>
      <c r="E17" s="46"/>
      <c r="F17" s="46"/>
      <c r="G17" s="46"/>
      <c r="H17" s="47"/>
      <c r="I17" s="23"/>
      <c r="J17" s="44"/>
      <c r="K17" s="28" t="s">
        <v>55</v>
      </c>
      <c r="L17" s="45"/>
      <c r="M17" s="46"/>
      <c r="N17" s="46"/>
      <c r="O17" s="46"/>
      <c r="P17" s="47"/>
      <c r="Q17" s="23"/>
      <c r="R17" s="23"/>
      <c r="S17" s="23"/>
      <c r="T17" s="23"/>
      <c r="U17" s="23"/>
      <c r="V17" s="3"/>
      <c r="W17" s="3"/>
      <c r="X17" s="3"/>
      <c r="Y17" s="23"/>
    </row>
    <row r="18" spans="1:25" s="48" customFormat="1" x14ac:dyDescent="0.15">
      <c r="A18" s="23"/>
      <c r="B18" s="44"/>
      <c r="C18" s="106" t="s">
        <v>149</v>
      </c>
      <c r="D18" s="117">
        <f>IF(D11="","",((5252*G8)/D11))</f>
        <v>35.013333333333335</v>
      </c>
      <c r="E18" s="108" t="s">
        <v>148</v>
      </c>
      <c r="F18" s="108" t="s">
        <v>158</v>
      </c>
      <c r="G18" s="109"/>
      <c r="H18" s="47"/>
      <c r="I18" s="23"/>
      <c r="J18" s="44"/>
      <c r="K18" s="106" t="s">
        <v>147</v>
      </c>
      <c r="L18" s="117">
        <f>IF(L11="","",((5252*O8)/L11))</f>
        <v>87.533333333333331</v>
      </c>
      <c r="M18" s="108" t="s">
        <v>148</v>
      </c>
      <c r="N18" s="108" t="s">
        <v>158</v>
      </c>
      <c r="O18" s="109"/>
      <c r="P18" s="47"/>
      <c r="Q18" s="23"/>
      <c r="R18" s="23"/>
      <c r="S18" s="23"/>
      <c r="T18" s="23"/>
      <c r="U18" s="23"/>
      <c r="V18" s="3"/>
      <c r="W18" s="3"/>
      <c r="X18" s="3"/>
      <c r="Y18" s="23"/>
    </row>
    <row r="19" spans="1:25" s="48" customFormat="1" x14ac:dyDescent="0.15">
      <c r="A19" s="23"/>
      <c r="B19" s="44"/>
      <c r="C19" s="110" t="s">
        <v>149</v>
      </c>
      <c r="D19" s="19">
        <f>IF(D11="","",((9550*F8)/D11))</f>
        <v>47.495333333333335</v>
      </c>
      <c r="E19" s="46" t="s">
        <v>125</v>
      </c>
      <c r="F19" s="46" t="s">
        <v>157</v>
      </c>
      <c r="G19" s="111"/>
      <c r="H19" s="47"/>
      <c r="I19" s="23"/>
      <c r="J19" s="44"/>
      <c r="K19" s="110" t="s">
        <v>116</v>
      </c>
      <c r="L19" s="19">
        <f>IF(L11="","",((9550*N8)/L11))</f>
        <v>118.73833333333333</v>
      </c>
      <c r="M19" s="46" t="s">
        <v>125</v>
      </c>
      <c r="N19" s="46" t="s">
        <v>157</v>
      </c>
      <c r="O19" s="111"/>
      <c r="P19" s="47"/>
      <c r="Q19" s="23"/>
      <c r="R19" s="23"/>
      <c r="S19" s="23"/>
      <c r="T19" s="23"/>
      <c r="U19" s="23"/>
      <c r="V19" s="3"/>
      <c r="W19" s="3"/>
      <c r="X19" s="3"/>
      <c r="Y19" s="23"/>
    </row>
    <row r="20" spans="1:25" s="48" customFormat="1" x14ac:dyDescent="0.15">
      <c r="A20" s="23"/>
      <c r="B20" s="44"/>
      <c r="C20" s="110" t="s">
        <v>150</v>
      </c>
      <c r="D20" s="19">
        <f>IF(F8&lt;30,(3*D19),(2*D19))</f>
        <v>142.48599999999999</v>
      </c>
      <c r="E20" s="46" t="s">
        <v>125</v>
      </c>
      <c r="F20" s="46"/>
      <c r="G20" s="111"/>
      <c r="H20" s="47"/>
      <c r="I20" s="23"/>
      <c r="J20" s="44"/>
      <c r="K20" s="110" t="s">
        <v>121</v>
      </c>
      <c r="L20" s="19">
        <f>IF(N8&lt;30,(3*L19),(2*L19))</f>
        <v>356.21499999999997</v>
      </c>
      <c r="M20" s="46" t="s">
        <v>125</v>
      </c>
      <c r="N20" s="46"/>
      <c r="O20" s="111"/>
      <c r="P20" s="47"/>
      <c r="Q20" s="23"/>
      <c r="R20" s="23"/>
      <c r="S20" s="23"/>
      <c r="T20" s="23"/>
      <c r="U20" s="23"/>
      <c r="V20" s="3"/>
      <c r="W20" s="3"/>
      <c r="X20" s="3"/>
      <c r="Y20" s="23"/>
    </row>
    <row r="21" spans="1:25" s="48" customFormat="1" x14ac:dyDescent="0.15">
      <c r="A21" s="23"/>
      <c r="B21" s="44"/>
      <c r="C21" s="110" t="s">
        <v>151</v>
      </c>
      <c r="D21" s="19">
        <f>IF(E6=1,((1000*G8*F102)/D5),((1000*G8*F102)/(1.732*D5)))</f>
        <v>12.048192771084338</v>
      </c>
      <c r="E21" s="46" t="s">
        <v>5</v>
      </c>
      <c r="F21" s="46"/>
      <c r="G21" s="111"/>
      <c r="H21" s="47"/>
      <c r="I21" s="23"/>
      <c r="J21" s="44"/>
      <c r="K21" s="110" t="s">
        <v>151</v>
      </c>
      <c r="L21" s="19">
        <f>IF(M6=1,((1000*O8*F103)/L5),((1000*O8*F103)/(1.732*L5)))</f>
        <v>13.912462784162052</v>
      </c>
      <c r="M21" s="46" t="s">
        <v>5</v>
      </c>
      <c r="N21" s="46"/>
      <c r="O21" s="111"/>
      <c r="P21" s="47"/>
      <c r="Q21" s="23"/>
      <c r="R21" s="23"/>
      <c r="S21" s="23"/>
      <c r="T21" s="23"/>
      <c r="U21" s="23"/>
      <c r="V21" s="3"/>
      <c r="W21" s="3"/>
      <c r="X21" s="3"/>
      <c r="Y21" s="23"/>
    </row>
    <row r="22" spans="1:25" s="48" customFormat="1" x14ac:dyDescent="0.15">
      <c r="A22" s="23"/>
      <c r="B22" s="44"/>
      <c r="C22" s="110" t="s">
        <v>152</v>
      </c>
      <c r="D22" s="19">
        <f>IF(E6=1,((1000*G8*G102)/D5),((1000*G8*G102)/(1.732*D5)))</f>
        <v>37.831325301204821</v>
      </c>
      <c r="E22" s="46" t="s">
        <v>5</v>
      </c>
      <c r="F22" s="46"/>
      <c r="G22" s="111"/>
      <c r="H22" s="47"/>
      <c r="I22" s="23"/>
      <c r="J22" s="44"/>
      <c r="K22" s="110" t="s">
        <v>152</v>
      </c>
      <c r="L22" s="19">
        <f>IF(M6=1,((1000*O8*G103)/L5),((1000*O8*G103)/(1.732*L5)))</f>
        <v>43.685133142268846</v>
      </c>
      <c r="M22" s="46" t="s">
        <v>5</v>
      </c>
      <c r="N22" s="46"/>
      <c r="O22" s="111"/>
      <c r="P22" s="47"/>
      <c r="Q22" s="23"/>
      <c r="R22" s="23"/>
      <c r="S22" s="23"/>
      <c r="T22" s="23"/>
      <c r="U22" s="23"/>
      <c r="V22" s="3"/>
      <c r="W22" s="3"/>
      <c r="X22" s="3"/>
      <c r="Y22" s="23"/>
    </row>
    <row r="23" spans="1:25" s="48" customFormat="1" x14ac:dyDescent="0.15">
      <c r="A23" s="23"/>
      <c r="B23" s="44"/>
      <c r="C23" s="110" t="s">
        <v>53</v>
      </c>
      <c r="D23" s="19">
        <f>7*D24</f>
        <v>78.644578313253021</v>
      </c>
      <c r="E23" s="46" t="s">
        <v>5</v>
      </c>
      <c r="F23" s="46" t="s">
        <v>123</v>
      </c>
      <c r="G23" s="111"/>
      <c r="H23" s="47"/>
      <c r="I23" s="23"/>
      <c r="J23" s="44"/>
      <c r="K23" s="121" t="s">
        <v>53</v>
      </c>
      <c r="L23" s="19">
        <f>3*L24</f>
        <v>38.920114638693342</v>
      </c>
      <c r="M23" s="46" t="s">
        <v>5</v>
      </c>
      <c r="N23" s="46" t="s">
        <v>122</v>
      </c>
      <c r="O23" s="111"/>
      <c r="P23" s="47"/>
      <c r="Q23" s="23"/>
      <c r="R23" s="23"/>
      <c r="S23" s="23"/>
      <c r="T23" s="23"/>
      <c r="U23" s="23"/>
      <c r="V23" s="3"/>
      <c r="W23" s="3"/>
      <c r="X23" s="3"/>
      <c r="Y23" s="23"/>
    </row>
    <row r="24" spans="1:25" s="48" customFormat="1" x14ac:dyDescent="0.15">
      <c r="A24" s="23"/>
      <c r="B24" s="44"/>
      <c r="C24" s="110" t="s">
        <v>44</v>
      </c>
      <c r="D24" s="49">
        <f>IF(E6=3,(F8*1000)/(1.732*D5*D12),(F8*1000)/(D5*D12))</f>
        <v>11.234939759036145</v>
      </c>
      <c r="E24" s="46" t="s">
        <v>5</v>
      </c>
      <c r="F24" s="46"/>
      <c r="G24" s="111"/>
      <c r="H24" s="47"/>
      <c r="I24" s="23"/>
      <c r="J24" s="44"/>
      <c r="K24" s="121" t="s">
        <v>44</v>
      </c>
      <c r="L24" s="49">
        <f>IF(M6=3,((N8*1000)/(1.732*L5*L12)),((N8*1000)/(L5*L12)))</f>
        <v>12.973371546231114</v>
      </c>
      <c r="M24" s="46" t="s">
        <v>5</v>
      </c>
      <c r="N24" s="46"/>
      <c r="O24" s="111"/>
      <c r="P24" s="47"/>
      <c r="Q24" s="23"/>
      <c r="R24" s="23"/>
      <c r="S24" s="23"/>
      <c r="T24" s="23"/>
      <c r="U24" s="23"/>
      <c r="V24" s="3"/>
      <c r="W24" s="3"/>
      <c r="X24" s="3"/>
      <c r="Y24" s="23"/>
    </row>
    <row r="25" spans="1:25" s="48" customFormat="1" x14ac:dyDescent="0.15">
      <c r="A25" s="23"/>
      <c r="B25" s="44"/>
      <c r="C25" s="113" t="s">
        <v>45</v>
      </c>
      <c r="D25" s="118">
        <f>IF(E6=3,(D24/1.732),D24)</f>
        <v>11.234939759036145</v>
      </c>
      <c r="E25" s="115" t="s">
        <v>5</v>
      </c>
      <c r="F25" s="115"/>
      <c r="G25" s="116"/>
      <c r="H25" s="47"/>
      <c r="I25" s="23"/>
      <c r="J25" s="44"/>
      <c r="K25" s="122" t="s">
        <v>45</v>
      </c>
      <c r="L25" s="118">
        <f>IF(M6=3,(L24/1.732),L24)</f>
        <v>7.490399276114962</v>
      </c>
      <c r="M25" s="115" t="s">
        <v>5</v>
      </c>
      <c r="N25" s="115"/>
      <c r="O25" s="116"/>
      <c r="P25" s="47"/>
      <c r="Q25" s="23"/>
      <c r="R25" s="23"/>
      <c r="S25" s="23"/>
      <c r="T25" s="23"/>
      <c r="U25" s="23"/>
      <c r="V25" s="3"/>
      <c r="W25" s="3"/>
      <c r="X25" s="3"/>
      <c r="Y25" s="23"/>
    </row>
    <row r="26" spans="1:25" s="48" customFormat="1" ht="6" customHeight="1" x14ac:dyDescent="0.15">
      <c r="A26" s="23"/>
      <c r="B26" s="44"/>
      <c r="C26" s="126"/>
      <c r="D26" s="49"/>
      <c r="E26" s="46"/>
      <c r="F26" s="46"/>
      <c r="G26" s="46"/>
      <c r="H26" s="47"/>
      <c r="I26" s="23"/>
      <c r="J26" s="44"/>
      <c r="K26" s="46"/>
      <c r="L26" s="49"/>
      <c r="M26" s="46"/>
      <c r="N26" s="46"/>
      <c r="O26" s="46"/>
      <c r="P26" s="47"/>
      <c r="Q26" s="23"/>
      <c r="R26" s="23"/>
      <c r="S26" s="23"/>
      <c r="T26" s="23"/>
      <c r="U26" s="23"/>
      <c r="V26" s="3"/>
      <c r="W26" s="3"/>
      <c r="X26" s="3"/>
      <c r="Y26" s="23"/>
    </row>
    <row r="27" spans="1:25" s="48" customFormat="1" x14ac:dyDescent="0.15">
      <c r="A27" s="23"/>
      <c r="B27" s="44"/>
      <c r="C27" s="28" t="s">
        <v>81</v>
      </c>
      <c r="D27" s="45"/>
      <c r="E27" s="46"/>
      <c r="F27" s="46"/>
      <c r="G27" s="46"/>
      <c r="H27" s="47"/>
      <c r="I27" s="23"/>
      <c r="J27" s="44"/>
      <c r="K27" s="28" t="s">
        <v>81</v>
      </c>
      <c r="L27" s="45"/>
      <c r="M27" s="46"/>
      <c r="N27" s="46"/>
      <c r="O27" s="46"/>
      <c r="P27" s="47"/>
      <c r="Q27" s="23"/>
      <c r="R27" s="23"/>
      <c r="S27" s="23"/>
      <c r="T27" s="23"/>
      <c r="U27" s="23"/>
      <c r="V27" s="3"/>
      <c r="W27" s="3"/>
      <c r="X27" s="3"/>
      <c r="Y27" s="23"/>
    </row>
    <row r="28" spans="1:25" s="48" customFormat="1" x14ac:dyDescent="0.15">
      <c r="A28" s="23"/>
      <c r="B28" s="44"/>
      <c r="C28" s="106" t="s">
        <v>75</v>
      </c>
      <c r="D28" s="107">
        <f>VLOOKUP(D7,$V$51:$Z$55,2,0)*D24</f>
        <v>33.704819277108435</v>
      </c>
      <c r="E28" s="108" t="s">
        <v>5</v>
      </c>
      <c r="F28" s="163" t="str">
        <f>("("&amp;H28 &amp;" x full Load Current )")</f>
        <v>(3 x full Load Current )</v>
      </c>
      <c r="G28" s="164"/>
      <c r="H28" s="51">
        <f>VLOOKUP(D7,V51:Z55,2,0)</f>
        <v>3</v>
      </c>
      <c r="I28" s="23"/>
      <c r="J28" s="44"/>
      <c r="K28" s="106" t="s">
        <v>75</v>
      </c>
      <c r="L28" s="107">
        <f>VLOOKUP(L7,$V$51:$Z$55,2,0)*L24</f>
        <v>38.920114638693342</v>
      </c>
      <c r="M28" s="108" t="s">
        <v>5</v>
      </c>
      <c r="N28" s="108" t="str">
        <f>("("&amp;H28 &amp;" x full Load Current )")</f>
        <v>(3 x full Load Current )</v>
      </c>
      <c r="O28" s="109"/>
      <c r="P28" s="47">
        <f>VLOOKUP(L7,V51:Z55,2,0)</f>
        <v>3</v>
      </c>
      <c r="Q28" s="23"/>
      <c r="R28" s="23"/>
      <c r="S28" s="23"/>
      <c r="T28" s="23"/>
      <c r="U28" s="23"/>
      <c r="V28" s="3"/>
      <c r="W28" s="3"/>
      <c r="X28" s="3"/>
      <c r="Y28" s="23"/>
    </row>
    <row r="29" spans="1:25" s="48" customFormat="1" x14ac:dyDescent="0.15">
      <c r="A29" s="23"/>
      <c r="B29" s="44"/>
      <c r="C29" s="110" t="s">
        <v>76</v>
      </c>
      <c r="D29" s="50">
        <f>VLOOKUP(D7,$V$51:$Z$55,3,0)*D24</f>
        <v>19.661144578313255</v>
      </c>
      <c r="E29" s="46" t="s">
        <v>5</v>
      </c>
      <c r="F29" s="159" t="str">
        <f>("("&amp;H29 &amp;" x full Load Current )")</f>
        <v>(1.75 x full Load Current )</v>
      </c>
      <c r="G29" s="160"/>
      <c r="H29" s="47">
        <f>VLOOKUP(D7,V51:Z55,3,0)</f>
        <v>1.75</v>
      </c>
      <c r="I29" s="23"/>
      <c r="J29" s="44"/>
      <c r="K29" s="110" t="s">
        <v>76</v>
      </c>
      <c r="L29" s="50">
        <f>VLOOKUP(L7,$V$51:$Z$55,3,0)*L24</f>
        <v>22.703400205904451</v>
      </c>
      <c r="M29" s="46" t="s">
        <v>5</v>
      </c>
      <c r="N29" s="46" t="str">
        <f>("("&amp;H29 &amp;" x full Load Current )")</f>
        <v>(1.75 x full Load Current )</v>
      </c>
      <c r="O29" s="111"/>
      <c r="P29" s="47">
        <f>VLOOKUP(L7,V51:Z55,3,0)</f>
        <v>1.75</v>
      </c>
      <c r="Q29" s="23"/>
      <c r="R29" s="23"/>
      <c r="S29" s="23"/>
      <c r="T29" s="23"/>
      <c r="U29" s="23"/>
      <c r="V29" s="3"/>
      <c r="W29" s="3"/>
      <c r="X29" s="3"/>
      <c r="Y29" s="23"/>
    </row>
    <row r="30" spans="1:25" s="48" customFormat="1" x14ac:dyDescent="0.15">
      <c r="A30" s="23"/>
      <c r="B30" s="44"/>
      <c r="C30" s="113"/>
      <c r="D30" s="119"/>
      <c r="E30" s="115"/>
      <c r="F30" s="115"/>
      <c r="G30" s="116"/>
      <c r="H30" s="47"/>
      <c r="I30" s="23"/>
      <c r="J30" s="44"/>
      <c r="K30" s="113"/>
      <c r="L30" s="119"/>
      <c r="M30" s="115"/>
      <c r="N30" s="115"/>
      <c r="O30" s="116"/>
      <c r="P30" s="47"/>
      <c r="Q30" s="23"/>
      <c r="R30" s="23"/>
      <c r="S30" s="23"/>
      <c r="T30" s="23"/>
      <c r="U30" s="23"/>
      <c r="V30" s="3"/>
      <c r="W30" s="3"/>
      <c r="X30" s="3"/>
      <c r="Y30" s="23"/>
    </row>
    <row r="31" spans="1:25" s="48" customFormat="1" ht="5.25" customHeight="1" x14ac:dyDescent="0.15">
      <c r="A31" s="23"/>
      <c r="B31" s="44"/>
      <c r="C31" s="126"/>
      <c r="D31" s="50"/>
      <c r="E31" s="46"/>
      <c r="F31" s="46"/>
      <c r="G31" s="46"/>
      <c r="H31" s="47"/>
      <c r="I31" s="23"/>
      <c r="J31" s="44"/>
      <c r="K31" s="126"/>
      <c r="L31" s="50"/>
      <c r="M31" s="46"/>
      <c r="N31" s="46"/>
      <c r="O31" s="46"/>
      <c r="P31" s="47"/>
      <c r="Q31" s="23"/>
      <c r="R31" s="23"/>
      <c r="S31" s="23"/>
      <c r="T31" s="23"/>
      <c r="U31" s="23"/>
      <c r="V31" s="3"/>
      <c r="W31" s="3"/>
      <c r="X31" s="3"/>
      <c r="Y31" s="23"/>
    </row>
    <row r="32" spans="1:25" s="48" customFormat="1" x14ac:dyDescent="0.15">
      <c r="A32" s="23"/>
      <c r="B32" s="44"/>
      <c r="C32" s="28" t="s">
        <v>82</v>
      </c>
      <c r="D32" s="50"/>
      <c r="E32" s="46"/>
      <c r="F32" s="46"/>
      <c r="G32" s="46"/>
      <c r="H32" s="47"/>
      <c r="I32" s="23"/>
      <c r="J32" s="44"/>
      <c r="K32" s="28" t="s">
        <v>82</v>
      </c>
      <c r="L32" s="50"/>
      <c r="M32" s="46"/>
      <c r="N32" s="46"/>
      <c r="O32" s="46"/>
      <c r="P32" s="47"/>
      <c r="Q32" s="23"/>
      <c r="R32" s="23"/>
      <c r="S32" s="23"/>
      <c r="T32" s="23"/>
      <c r="U32" s="23"/>
      <c r="V32" s="3"/>
      <c r="W32" s="3"/>
      <c r="X32" s="3"/>
      <c r="Y32" s="23"/>
    </row>
    <row r="33" spans="1:25" s="48" customFormat="1" x14ac:dyDescent="0.2">
      <c r="A33" s="23"/>
      <c r="B33" s="44"/>
      <c r="C33" s="106" t="s">
        <v>77</v>
      </c>
      <c r="D33" s="107">
        <f>VLOOKUP(D7,$V$51:$Z$55,4,0)*D24</f>
        <v>89.879518072289159</v>
      </c>
      <c r="E33" s="108" t="s">
        <v>5</v>
      </c>
      <c r="F33" s="163" t="str">
        <f>("("&amp;H33 &amp;" x full Load Current )")</f>
        <v>(8 x full Load Current )</v>
      </c>
      <c r="G33" s="164"/>
      <c r="H33" s="47">
        <f>VLOOKUP(D7,V51:Z55,4,0)</f>
        <v>8</v>
      </c>
      <c r="I33" s="23"/>
      <c r="J33" s="44"/>
      <c r="K33" s="106" t="s">
        <v>77</v>
      </c>
      <c r="L33" s="107">
        <f>VLOOKUP(L7,$V$51:$Z$55,4,0)*L24</f>
        <v>103.78697236984891</v>
      </c>
      <c r="M33" s="108" t="s">
        <v>5</v>
      </c>
      <c r="N33" s="108" t="str">
        <f>("("&amp;H33 &amp;" x full Load Current )")</f>
        <v>(8 x full Load Current )</v>
      </c>
      <c r="O33" s="109"/>
      <c r="P33" s="47">
        <f>VLOOKUP(L7,V51:Z55,4,0)</f>
        <v>8</v>
      </c>
      <c r="Q33" s="23"/>
      <c r="R33" s="23"/>
      <c r="S33" s="23"/>
      <c r="T33" s="23"/>
      <c r="U33" s="23"/>
      <c r="V33" s="23"/>
      <c r="W33" s="23"/>
      <c r="X33" s="23"/>
      <c r="Y33" s="23"/>
    </row>
    <row r="34" spans="1:25" s="48" customFormat="1" x14ac:dyDescent="0.2">
      <c r="A34" s="23"/>
      <c r="B34" s="44"/>
      <c r="C34" s="110" t="s">
        <v>78</v>
      </c>
      <c r="D34" s="50">
        <f>VLOOKUP(D7,$V$51:$Z$55,5,0)*D24</f>
        <v>28.087349397590362</v>
      </c>
      <c r="E34" s="46" t="s">
        <v>5</v>
      </c>
      <c r="F34" s="159" t="str">
        <f>("("&amp;H34 &amp;" x full Load Current )")</f>
        <v>(2.5 x full Load Current )</v>
      </c>
      <c r="G34" s="160"/>
      <c r="H34" s="47">
        <f>VLOOKUP(D7,V51:Z55,5,0)</f>
        <v>2.5</v>
      </c>
      <c r="I34" s="23"/>
      <c r="J34" s="44"/>
      <c r="K34" s="110" t="s">
        <v>78</v>
      </c>
      <c r="L34" s="50">
        <f>VLOOKUP(L7,$V$51:$Z$55,5,0)*L24</f>
        <v>32.433428865577781</v>
      </c>
      <c r="M34" s="46" t="s">
        <v>5</v>
      </c>
      <c r="N34" s="46" t="str">
        <f>("("&amp;H34 &amp;" x full Load Current )")</f>
        <v>(2.5 x full Load Current )</v>
      </c>
      <c r="O34" s="111"/>
      <c r="P34" s="47">
        <f>VLOOKUP(L7,V51:Z55,5,0)</f>
        <v>2.5</v>
      </c>
      <c r="Q34" s="23"/>
      <c r="R34" s="23"/>
      <c r="S34" s="23"/>
      <c r="T34" s="23"/>
      <c r="U34" s="23"/>
      <c r="V34" s="23"/>
      <c r="W34" s="23"/>
      <c r="X34" s="23"/>
      <c r="Y34" s="23"/>
    </row>
    <row r="35" spans="1:25" s="48" customFormat="1" x14ac:dyDescent="0.2">
      <c r="A35" s="23"/>
      <c r="B35" s="44"/>
      <c r="C35" s="113"/>
      <c r="D35" s="119"/>
      <c r="E35" s="115"/>
      <c r="F35" s="124"/>
      <c r="G35" s="125"/>
      <c r="H35" s="47"/>
      <c r="I35" s="23"/>
      <c r="J35" s="44"/>
      <c r="K35" s="113"/>
      <c r="L35" s="119"/>
      <c r="M35" s="115"/>
      <c r="N35" s="115"/>
      <c r="O35" s="116"/>
      <c r="P35" s="47"/>
      <c r="Q35" s="23"/>
      <c r="R35" s="23"/>
      <c r="S35" s="23"/>
      <c r="T35" s="23"/>
      <c r="U35" s="23"/>
      <c r="V35" s="23"/>
      <c r="W35" s="23"/>
      <c r="X35" s="23"/>
      <c r="Y35" s="23"/>
    </row>
    <row r="36" spans="1:25" s="48" customFormat="1" ht="6" customHeight="1" x14ac:dyDescent="0.2">
      <c r="A36" s="23"/>
      <c r="B36" s="44"/>
      <c r="C36" s="126"/>
      <c r="D36" s="45"/>
      <c r="E36" s="46"/>
      <c r="F36" s="46"/>
      <c r="G36" s="46"/>
      <c r="H36" s="47"/>
      <c r="I36" s="23"/>
      <c r="J36" s="44"/>
      <c r="K36" s="46"/>
      <c r="L36" s="45"/>
      <c r="M36" s="46"/>
      <c r="N36" s="46"/>
      <c r="O36" s="46"/>
      <c r="P36" s="47"/>
      <c r="Q36" s="23"/>
      <c r="R36" s="23"/>
      <c r="S36" s="23"/>
      <c r="T36" s="23"/>
      <c r="U36" s="23"/>
      <c r="V36" s="23"/>
      <c r="W36" s="23"/>
      <c r="X36" s="23"/>
      <c r="Y36" s="23"/>
    </row>
    <row r="37" spans="1:25" s="48" customFormat="1" x14ac:dyDescent="0.2">
      <c r="A37" s="23"/>
      <c r="B37" s="44"/>
      <c r="C37" s="28" t="s">
        <v>57</v>
      </c>
      <c r="D37" s="45"/>
      <c r="E37" s="46"/>
      <c r="F37" s="46"/>
      <c r="G37" s="46"/>
      <c r="H37" s="47"/>
      <c r="I37" s="23"/>
      <c r="J37" s="44"/>
      <c r="K37" s="28" t="s">
        <v>57</v>
      </c>
      <c r="L37" s="45"/>
      <c r="M37" s="46"/>
      <c r="N37" s="46"/>
      <c r="O37" s="46"/>
      <c r="P37" s="47"/>
      <c r="Q37" s="23"/>
      <c r="R37" s="23"/>
      <c r="S37" s="23"/>
      <c r="T37" s="23"/>
      <c r="U37" s="23"/>
      <c r="V37" s="23"/>
      <c r="W37" s="23"/>
      <c r="X37" s="23"/>
      <c r="Y37" s="23"/>
    </row>
    <row r="38" spans="1:25" s="48" customFormat="1" x14ac:dyDescent="0.2">
      <c r="A38" s="23"/>
      <c r="B38" s="44"/>
      <c r="C38" s="106" t="s">
        <v>58</v>
      </c>
      <c r="D38" s="107">
        <f>D25*0.7</f>
        <v>7.8644578313253009</v>
      </c>
      <c r="E38" s="108" t="s">
        <v>5</v>
      </c>
      <c r="F38" s="108"/>
      <c r="G38" s="109"/>
      <c r="H38" s="47"/>
      <c r="I38" s="23"/>
      <c r="J38" s="44"/>
      <c r="K38" s="106" t="s">
        <v>58</v>
      </c>
      <c r="L38" s="107">
        <f>L25*0.7</f>
        <v>5.2432794932804727</v>
      </c>
      <c r="M38" s="108" t="s">
        <v>5</v>
      </c>
      <c r="N38" s="108"/>
      <c r="O38" s="109"/>
      <c r="P38" s="47"/>
      <c r="Q38" s="23"/>
      <c r="R38" s="23"/>
      <c r="S38" s="23"/>
      <c r="T38" s="23"/>
      <c r="U38" s="23"/>
      <c r="V38" s="23"/>
      <c r="W38" s="23"/>
      <c r="X38" s="23"/>
      <c r="Y38" s="23"/>
    </row>
    <row r="39" spans="1:25" s="48" customFormat="1" x14ac:dyDescent="0.2">
      <c r="A39" s="23"/>
      <c r="B39" s="44"/>
      <c r="C39" s="110" t="s">
        <v>59</v>
      </c>
      <c r="D39" s="50">
        <f>D25*1.2</f>
        <v>13.481927710843374</v>
      </c>
      <c r="E39" s="46" t="s">
        <v>5</v>
      </c>
      <c r="F39" s="46"/>
      <c r="G39" s="111"/>
      <c r="H39" s="47"/>
      <c r="I39" s="23"/>
      <c r="J39" s="44"/>
      <c r="K39" s="110" t="s">
        <v>59</v>
      </c>
      <c r="L39" s="50">
        <f>L25*1.2</f>
        <v>8.9884791313379537</v>
      </c>
      <c r="M39" s="46" t="s">
        <v>5</v>
      </c>
      <c r="N39" s="46"/>
      <c r="O39" s="111"/>
      <c r="P39" s="47"/>
      <c r="Q39" s="23"/>
      <c r="R39" s="23"/>
      <c r="S39" s="23"/>
      <c r="T39" s="23"/>
      <c r="U39" s="23"/>
      <c r="V39" s="23"/>
      <c r="W39" s="23"/>
      <c r="X39" s="23"/>
      <c r="Y39" s="23"/>
    </row>
    <row r="40" spans="1:25" s="48" customFormat="1" x14ac:dyDescent="0.2">
      <c r="A40" s="23"/>
      <c r="B40" s="44"/>
      <c r="C40" s="112" t="s">
        <v>3</v>
      </c>
      <c r="D40" s="30"/>
      <c r="E40" s="46"/>
      <c r="F40" s="46"/>
      <c r="G40" s="111"/>
      <c r="H40" s="47"/>
      <c r="I40" s="23"/>
      <c r="J40" s="44"/>
      <c r="K40" s="112" t="s">
        <v>3</v>
      </c>
      <c r="L40" s="30"/>
      <c r="M40" s="46"/>
      <c r="N40" s="46"/>
      <c r="O40" s="111"/>
      <c r="P40" s="47"/>
      <c r="Q40" s="23"/>
      <c r="R40" s="23"/>
      <c r="S40" s="23"/>
      <c r="T40" s="23"/>
      <c r="U40" s="23"/>
      <c r="V40" s="52"/>
      <c r="W40" s="23"/>
      <c r="X40" s="40"/>
      <c r="Y40" s="23"/>
    </row>
    <row r="41" spans="1:25" s="48" customFormat="1" x14ac:dyDescent="0.2">
      <c r="A41" s="23"/>
      <c r="B41" s="44"/>
      <c r="C41" s="110" t="s">
        <v>60</v>
      </c>
      <c r="D41" s="53">
        <f>D24</f>
        <v>11.234939759036145</v>
      </c>
      <c r="E41" s="46" t="s">
        <v>5</v>
      </c>
      <c r="F41" s="46"/>
      <c r="G41" s="111"/>
      <c r="H41" s="47"/>
      <c r="I41" s="23"/>
      <c r="J41" s="44"/>
      <c r="K41" s="110" t="s">
        <v>61</v>
      </c>
      <c r="L41" s="53">
        <f>IF(P15=1,(L24),(L24*0.58))</f>
        <v>7.5245554968140453</v>
      </c>
      <c r="M41" s="46" t="s">
        <v>5</v>
      </c>
      <c r="N41" s="46"/>
      <c r="O41" s="111"/>
      <c r="P41" s="47"/>
      <c r="Q41" s="23"/>
      <c r="R41" s="23"/>
      <c r="S41" s="23"/>
      <c r="T41" s="23"/>
      <c r="U41" s="23"/>
      <c r="V41" s="52"/>
      <c r="W41" s="23"/>
      <c r="X41" s="40"/>
      <c r="Y41" s="23"/>
    </row>
    <row r="42" spans="1:25" s="48" customFormat="1" x14ac:dyDescent="0.2">
      <c r="A42" s="23"/>
      <c r="B42" s="44"/>
      <c r="C42" s="113"/>
      <c r="D42" s="114"/>
      <c r="E42" s="115"/>
      <c r="F42" s="115"/>
      <c r="G42" s="116"/>
      <c r="H42" s="47"/>
      <c r="I42" s="23"/>
      <c r="J42" s="44"/>
      <c r="K42" s="123" t="str">
        <f>IF(P15=1,"N.B: O/L Relay will not give Protection while Motor runs in Delta (Relay Setting is too High for Delta Winding)","")</f>
        <v/>
      </c>
      <c r="L42" s="114"/>
      <c r="M42" s="115"/>
      <c r="N42" s="115"/>
      <c r="O42" s="116"/>
      <c r="P42" s="47"/>
      <c r="Q42" s="23"/>
      <c r="R42" s="23"/>
      <c r="S42" s="23"/>
      <c r="T42" s="23"/>
      <c r="U42" s="23"/>
      <c r="V42" s="52"/>
      <c r="W42" s="23"/>
      <c r="X42" s="40"/>
      <c r="Y42" s="23"/>
    </row>
    <row r="43" spans="1:25" s="48" customFormat="1" ht="6" customHeight="1" x14ac:dyDescent="0.2">
      <c r="A43" s="23"/>
      <c r="B43" s="44"/>
      <c r="C43" s="126"/>
      <c r="D43" s="45"/>
      <c r="E43" s="46"/>
      <c r="F43" s="46"/>
      <c r="G43" s="46"/>
      <c r="H43" s="47"/>
      <c r="I43" s="23"/>
      <c r="J43" s="44"/>
      <c r="K43" s="46"/>
      <c r="L43" s="45"/>
      <c r="M43" s="46"/>
      <c r="N43" s="46"/>
      <c r="O43" s="46"/>
      <c r="P43" s="47"/>
      <c r="Q43" s="23"/>
      <c r="R43" s="23"/>
      <c r="S43" s="23"/>
      <c r="T43" s="23"/>
      <c r="U43" s="23"/>
      <c r="V43" s="52"/>
      <c r="W43" s="23"/>
      <c r="X43" s="40"/>
      <c r="Y43" s="23"/>
    </row>
    <row r="44" spans="1:25" s="48" customFormat="1" x14ac:dyDescent="0.2">
      <c r="A44" s="23"/>
      <c r="B44" s="44"/>
      <c r="C44" s="28" t="s">
        <v>6</v>
      </c>
      <c r="D44" s="45"/>
      <c r="E44" s="46"/>
      <c r="F44" s="46"/>
      <c r="G44" s="46"/>
      <c r="H44" s="47"/>
      <c r="I44" s="23"/>
      <c r="J44" s="44"/>
      <c r="K44" s="28" t="s">
        <v>6</v>
      </c>
      <c r="L44" s="45"/>
      <c r="M44" s="46"/>
      <c r="N44" s="46"/>
      <c r="O44" s="46"/>
      <c r="P44" s="47"/>
      <c r="Q44" s="23"/>
      <c r="R44" s="23"/>
      <c r="S44" s="23"/>
      <c r="T44" s="23"/>
      <c r="U44" s="23"/>
      <c r="V44" s="23"/>
      <c r="W44" s="23"/>
      <c r="X44" s="40"/>
      <c r="Y44" s="23"/>
    </row>
    <row r="45" spans="1:25" s="48" customFormat="1" x14ac:dyDescent="0.2">
      <c r="A45" s="23"/>
      <c r="B45" s="44"/>
      <c r="C45" s="106" t="s">
        <v>48</v>
      </c>
      <c r="D45" s="107" t="str">
        <f>VLOOKUP(D13,C77:D92,2,0)</f>
        <v>AC7b</v>
      </c>
      <c r="E45" s="108"/>
      <c r="F45" s="108"/>
      <c r="G45" s="109"/>
      <c r="H45" s="47"/>
      <c r="I45" s="23"/>
      <c r="J45" s="44"/>
      <c r="K45" s="120" t="s">
        <v>48</v>
      </c>
      <c r="L45" s="107" t="str">
        <f>VLOOKUP(L13,C77:D92,2,0)</f>
        <v>AC1</v>
      </c>
      <c r="M45" s="108"/>
      <c r="N45" s="108"/>
      <c r="O45" s="109"/>
      <c r="P45" s="47"/>
      <c r="Q45" s="23"/>
      <c r="R45" s="23"/>
      <c r="S45" s="23"/>
      <c r="T45" s="23"/>
      <c r="U45" s="23"/>
      <c r="V45" s="23"/>
      <c r="W45" s="23"/>
      <c r="X45" s="40"/>
      <c r="Y45" s="23"/>
    </row>
    <row r="46" spans="1:25" s="48" customFormat="1" x14ac:dyDescent="0.2">
      <c r="A46" s="23"/>
      <c r="B46" s="44"/>
      <c r="C46" s="110" t="s">
        <v>47</v>
      </c>
      <c r="D46" s="50">
        <f>VLOOKUP(D13,C77:E92,3,0)*D24</f>
        <v>89.879518072289159</v>
      </c>
      <c r="E46" s="46" t="s">
        <v>5</v>
      </c>
      <c r="F46" s="46"/>
      <c r="G46" s="111"/>
      <c r="H46" s="47"/>
      <c r="I46" s="23"/>
      <c r="J46" s="44"/>
      <c r="K46" s="121" t="s">
        <v>47</v>
      </c>
      <c r="L46" s="50">
        <f>VLOOKUP(L13,C77:E92,3,0)*L24</f>
        <v>19.460057319346671</v>
      </c>
      <c r="M46" s="46" t="s">
        <v>5</v>
      </c>
      <c r="N46" s="46"/>
      <c r="O46" s="111"/>
      <c r="P46" s="47"/>
      <c r="Q46" s="23"/>
      <c r="R46" s="23"/>
      <c r="S46" s="23"/>
      <c r="T46" s="23"/>
      <c r="U46" s="23"/>
      <c r="V46" s="23"/>
      <c r="W46" s="23"/>
      <c r="X46" s="40"/>
      <c r="Y46" s="23"/>
    </row>
    <row r="47" spans="1:25" s="48" customFormat="1" x14ac:dyDescent="0.2">
      <c r="A47" s="23"/>
      <c r="B47" s="44"/>
      <c r="C47" s="110" t="s">
        <v>56</v>
      </c>
      <c r="D47" s="50">
        <f>D24*1</f>
        <v>11.234939759036145</v>
      </c>
      <c r="E47" s="46" t="s">
        <v>5</v>
      </c>
      <c r="F47" s="46"/>
      <c r="G47" s="111"/>
      <c r="H47" s="47"/>
      <c r="I47" s="23"/>
      <c r="J47" s="44"/>
      <c r="K47" s="121" t="s">
        <v>49</v>
      </c>
      <c r="L47" s="50">
        <f>L24*0.58</f>
        <v>7.5245554968140453</v>
      </c>
      <c r="M47" s="46" t="s">
        <v>5</v>
      </c>
      <c r="N47" s="46" t="s">
        <v>79</v>
      </c>
      <c r="O47" s="111" t="s">
        <v>63</v>
      </c>
      <c r="P47" s="47"/>
      <c r="Q47" s="23"/>
      <c r="R47" s="23"/>
      <c r="S47" s="23"/>
      <c r="T47" s="23"/>
      <c r="U47" s="23"/>
      <c r="V47" s="23"/>
      <c r="W47" s="23"/>
      <c r="X47" s="40"/>
      <c r="Y47" s="23"/>
    </row>
    <row r="48" spans="1:25" s="48" customFormat="1" x14ac:dyDescent="0.2">
      <c r="A48" s="23"/>
      <c r="B48" s="44"/>
      <c r="C48" s="110"/>
      <c r="D48" s="50"/>
      <c r="E48" s="46"/>
      <c r="F48" s="46"/>
      <c r="G48" s="111"/>
      <c r="H48" s="47"/>
      <c r="I48" s="23"/>
      <c r="J48" s="44"/>
      <c r="K48" s="121" t="s">
        <v>50</v>
      </c>
      <c r="L48" s="50">
        <f>L24*0.58</f>
        <v>7.5245554968140453</v>
      </c>
      <c r="M48" s="46" t="s">
        <v>5</v>
      </c>
      <c r="N48" s="46" t="s">
        <v>79</v>
      </c>
      <c r="O48" s="111" t="s">
        <v>62</v>
      </c>
      <c r="P48" s="47"/>
      <c r="Q48" s="23"/>
      <c r="R48" s="23"/>
      <c r="S48" s="23"/>
      <c r="T48" s="23"/>
      <c r="U48" s="23"/>
      <c r="V48" s="23"/>
      <c r="W48" s="23"/>
      <c r="X48" s="40"/>
      <c r="Y48" s="23"/>
    </row>
    <row r="49" spans="1:26" s="48" customFormat="1" x14ac:dyDescent="0.2">
      <c r="A49" s="23"/>
      <c r="B49" s="44"/>
      <c r="C49" s="113"/>
      <c r="D49" s="119"/>
      <c r="E49" s="115" t="str">
        <f>IF(C49="","","Amp")</f>
        <v/>
      </c>
      <c r="F49" s="115"/>
      <c r="G49" s="116"/>
      <c r="H49" s="47"/>
      <c r="I49" s="23"/>
      <c r="J49" s="44"/>
      <c r="K49" s="122" t="s">
        <v>51</v>
      </c>
      <c r="L49" s="119">
        <f>L24*0.33</f>
        <v>4.2812126102562678</v>
      </c>
      <c r="M49" s="115" t="str">
        <f>IF(K49="","","Amp")</f>
        <v>Amp</v>
      </c>
      <c r="N49" s="115" t="s">
        <v>80</v>
      </c>
      <c r="O49" s="116" t="s">
        <v>64</v>
      </c>
      <c r="P49" s="47"/>
      <c r="Q49" s="23"/>
      <c r="R49" s="23"/>
      <c r="S49" s="23"/>
      <c r="T49" s="23"/>
      <c r="U49" s="23"/>
      <c r="V49" s="23"/>
      <c r="W49" s="23"/>
      <c r="X49" s="40"/>
      <c r="Y49" s="23"/>
    </row>
    <row r="50" spans="1:26" s="48" customFormat="1" ht="6" customHeight="1" x14ac:dyDescent="0.2">
      <c r="A50" s="23"/>
      <c r="B50" s="44"/>
      <c r="C50" s="126"/>
      <c r="D50" s="45"/>
      <c r="E50" s="46"/>
      <c r="F50" s="46"/>
      <c r="G50" s="46"/>
      <c r="H50" s="47"/>
      <c r="I50" s="23"/>
      <c r="J50" s="44"/>
      <c r="K50" s="46"/>
      <c r="L50" s="45"/>
      <c r="M50" s="46"/>
      <c r="N50" s="46"/>
      <c r="O50" s="46"/>
      <c r="P50" s="47"/>
      <c r="Q50" s="23"/>
      <c r="R50" s="23"/>
      <c r="S50" s="23"/>
      <c r="T50" s="23"/>
      <c r="U50" s="23"/>
      <c r="V50" s="23"/>
      <c r="W50" s="54" t="s">
        <v>72</v>
      </c>
      <c r="X50" s="54" t="s">
        <v>71</v>
      </c>
      <c r="Y50" s="23" t="s">
        <v>74</v>
      </c>
      <c r="Z50" s="48" t="s">
        <v>73</v>
      </c>
    </row>
    <row r="51" spans="1:26" x14ac:dyDescent="0.15">
      <c r="A51" s="3"/>
      <c r="B51" s="13"/>
      <c r="C51" s="25"/>
      <c r="D51" s="30"/>
      <c r="E51" s="31"/>
      <c r="F51" s="17"/>
      <c r="G51" s="17"/>
      <c r="H51" s="14"/>
      <c r="I51" s="3"/>
      <c r="J51" s="13"/>
      <c r="K51" s="28" t="s">
        <v>2</v>
      </c>
      <c r="L51" s="30" t="str">
        <f>IF(O8&lt;50,"30ms","100ms")</f>
        <v>30ms</v>
      </c>
      <c r="M51" s="31"/>
      <c r="N51" s="17"/>
      <c r="O51" s="17"/>
      <c r="P51" s="14"/>
      <c r="Q51" s="3"/>
      <c r="R51" s="3"/>
      <c r="S51" s="3"/>
      <c r="T51" s="3"/>
      <c r="U51" s="3"/>
      <c r="V51" s="3" t="s">
        <v>65</v>
      </c>
      <c r="W51" s="42">
        <v>3</v>
      </c>
      <c r="X51" s="42">
        <v>1.75</v>
      </c>
      <c r="Y51" s="42">
        <v>8</v>
      </c>
      <c r="Z51" s="32">
        <v>2.5</v>
      </c>
    </row>
    <row r="52" spans="1:26" ht="7.5" customHeight="1" thickBot="1" x14ac:dyDescent="0.2">
      <c r="A52" s="3"/>
      <c r="B52" s="33"/>
      <c r="C52" s="34"/>
      <c r="D52" s="35"/>
      <c r="E52" s="36"/>
      <c r="F52" s="36"/>
      <c r="G52" s="36"/>
      <c r="H52" s="37"/>
      <c r="I52" s="3"/>
      <c r="J52" s="33"/>
      <c r="K52" s="36"/>
      <c r="L52" s="35"/>
      <c r="M52" s="36"/>
      <c r="N52" s="36"/>
      <c r="O52" s="36"/>
      <c r="P52" s="37"/>
      <c r="Q52" s="3"/>
      <c r="R52" s="3"/>
      <c r="S52" s="3"/>
      <c r="T52" s="3"/>
      <c r="U52" s="3"/>
      <c r="V52" s="3" t="s">
        <v>66</v>
      </c>
      <c r="W52" s="42">
        <v>3</v>
      </c>
      <c r="X52" s="42">
        <v>1.75</v>
      </c>
      <c r="Y52" s="42">
        <v>8</v>
      </c>
      <c r="Z52" s="32">
        <v>2.5</v>
      </c>
    </row>
    <row r="53" spans="1:26" s="140" customFormat="1" x14ac:dyDescent="0.15">
      <c r="A53" s="135"/>
      <c r="B53" s="135"/>
      <c r="C53" s="136"/>
      <c r="D53" s="137"/>
      <c r="E53" s="135"/>
      <c r="F53" s="135"/>
      <c r="G53" s="135"/>
      <c r="H53" s="135"/>
      <c r="I53" s="135"/>
      <c r="J53" s="135"/>
      <c r="K53" s="135"/>
      <c r="L53" s="137"/>
      <c r="M53" s="135"/>
      <c r="N53" s="135"/>
      <c r="O53" s="135"/>
      <c r="P53" s="135"/>
      <c r="Q53" s="135"/>
      <c r="R53" s="135"/>
      <c r="S53" s="135"/>
      <c r="T53" s="135"/>
      <c r="U53" s="135"/>
      <c r="V53" s="135" t="s">
        <v>67</v>
      </c>
      <c r="W53" s="138">
        <v>3</v>
      </c>
      <c r="X53" s="138">
        <v>1.75</v>
      </c>
      <c r="Y53" s="138">
        <v>8</v>
      </c>
      <c r="Z53" s="139">
        <v>2.5</v>
      </c>
    </row>
    <row r="54" spans="1:26" s="140" customFormat="1" ht="15" customHeight="1" x14ac:dyDescent="0.15">
      <c r="A54" s="135"/>
      <c r="B54" s="135"/>
      <c r="C54" s="136"/>
      <c r="D54" s="137"/>
      <c r="E54" s="135"/>
      <c r="F54" s="135"/>
      <c r="G54" s="135"/>
      <c r="H54" s="135"/>
      <c r="I54" s="135"/>
      <c r="J54" s="135"/>
      <c r="K54" s="135"/>
      <c r="L54" s="137"/>
      <c r="M54" s="135"/>
      <c r="N54" s="135"/>
      <c r="O54" s="135"/>
      <c r="P54" s="135"/>
      <c r="Q54" s="135"/>
      <c r="R54" s="135"/>
      <c r="S54" s="135"/>
      <c r="T54" s="135"/>
      <c r="U54" s="135"/>
      <c r="V54" s="141" t="s">
        <v>68</v>
      </c>
      <c r="W54" s="138">
        <v>1.5</v>
      </c>
      <c r="X54" s="138">
        <v>1.5</v>
      </c>
      <c r="Y54" s="138">
        <v>8</v>
      </c>
      <c r="Z54" s="139">
        <v>1.5</v>
      </c>
    </row>
    <row r="55" spans="1:26" s="140" customFormat="1" ht="15" customHeight="1" x14ac:dyDescent="0.15">
      <c r="A55" s="135"/>
      <c r="B55" s="135"/>
      <c r="C55" s="136"/>
      <c r="D55" s="137"/>
      <c r="E55" s="135"/>
      <c r="F55" s="135"/>
      <c r="G55" s="135"/>
      <c r="H55" s="135"/>
      <c r="I55" s="135"/>
      <c r="J55" s="135"/>
      <c r="K55" s="135"/>
      <c r="L55" s="137"/>
      <c r="M55" s="135"/>
      <c r="N55" s="135"/>
      <c r="O55" s="135"/>
      <c r="P55" s="135"/>
      <c r="Q55" s="135"/>
      <c r="R55" s="135"/>
      <c r="S55" s="135"/>
      <c r="T55" s="135"/>
      <c r="U55" s="135"/>
      <c r="V55" s="135" t="s">
        <v>69</v>
      </c>
      <c r="W55" s="138">
        <v>1.5</v>
      </c>
      <c r="X55" s="138">
        <v>1.5</v>
      </c>
      <c r="Y55" s="138">
        <v>2</v>
      </c>
      <c r="Z55" s="139">
        <v>1.5</v>
      </c>
    </row>
    <row r="56" spans="1:26" s="146" customFormat="1" ht="12.75" customHeight="1" x14ac:dyDescent="0.15">
      <c r="A56" s="142"/>
      <c r="B56" s="142"/>
      <c r="C56" s="143"/>
      <c r="D56" s="144"/>
      <c r="E56" s="142"/>
      <c r="F56" s="142"/>
      <c r="G56" s="142"/>
      <c r="H56" s="135"/>
      <c r="I56" s="135"/>
      <c r="J56" s="135"/>
      <c r="K56" s="142"/>
      <c r="L56" s="144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4"/>
      <c r="X56" s="144"/>
      <c r="Y56" s="144"/>
      <c r="Z56" s="145"/>
    </row>
    <row r="57" spans="1:26" s="146" customFormat="1" x14ac:dyDescent="0.15">
      <c r="A57" s="142"/>
      <c r="B57" s="142"/>
      <c r="C57" s="143"/>
      <c r="D57" s="144"/>
      <c r="E57" s="142"/>
      <c r="F57" s="142"/>
      <c r="G57" s="142"/>
      <c r="H57" s="135"/>
      <c r="I57" s="135"/>
      <c r="J57" s="135"/>
      <c r="K57" s="142"/>
      <c r="L57" s="144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4"/>
      <c r="Y57" s="142"/>
    </row>
    <row r="58" spans="1:26" s="146" customFormat="1" x14ac:dyDescent="0.15">
      <c r="A58" s="142"/>
      <c r="B58" s="142"/>
      <c r="C58" s="143"/>
      <c r="D58" s="144"/>
      <c r="E58" s="142"/>
      <c r="F58" s="142"/>
      <c r="G58" s="142"/>
      <c r="H58" s="135"/>
      <c r="I58" s="135"/>
      <c r="J58" s="135"/>
      <c r="K58" s="142"/>
      <c r="L58" s="144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4"/>
      <c r="Y58" s="142"/>
    </row>
    <row r="59" spans="1:26" s="146" customFormat="1" x14ac:dyDescent="0.15">
      <c r="A59" s="142"/>
      <c r="B59" s="144">
        <v>16</v>
      </c>
      <c r="C59" s="143">
        <v>3.31</v>
      </c>
      <c r="D59" s="144"/>
      <c r="E59" s="142"/>
      <c r="F59" s="142"/>
      <c r="G59" s="142"/>
      <c r="H59" s="135"/>
      <c r="I59" s="135"/>
      <c r="J59" s="135"/>
      <c r="K59" s="142">
        <v>3.31</v>
      </c>
      <c r="L59" s="144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4"/>
      <c r="Y59" s="142"/>
    </row>
    <row r="60" spans="1:26" s="140" customFormat="1" x14ac:dyDescent="0.15">
      <c r="A60" s="135"/>
      <c r="B60" s="135"/>
      <c r="C60" s="136">
        <v>3.7</v>
      </c>
      <c r="D60" s="137"/>
      <c r="E60" s="135"/>
      <c r="F60" s="135"/>
      <c r="G60" s="135"/>
      <c r="H60" s="135"/>
      <c r="I60" s="135"/>
      <c r="J60" s="135"/>
      <c r="K60" s="135">
        <v>3.7</v>
      </c>
      <c r="L60" s="137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47"/>
      <c r="Y60" s="135"/>
    </row>
    <row r="61" spans="1:26" s="140" customFormat="1" x14ac:dyDescent="0.15">
      <c r="A61" s="135"/>
      <c r="B61" s="135"/>
      <c r="C61" s="136">
        <v>4.5999999999999996</v>
      </c>
      <c r="D61" s="137"/>
      <c r="E61" s="135"/>
      <c r="F61" s="135"/>
      <c r="G61" s="135"/>
      <c r="H61" s="135"/>
      <c r="I61" s="135"/>
      <c r="J61" s="135"/>
      <c r="K61" s="135">
        <v>4.5999999999999996</v>
      </c>
      <c r="L61" s="137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47"/>
      <c r="Y61" s="135"/>
    </row>
    <row r="62" spans="1:26" s="140" customFormat="1" x14ac:dyDescent="0.15">
      <c r="A62" s="135"/>
      <c r="B62" s="148">
        <f>(B59*230*0.8)/1000</f>
        <v>2.944</v>
      </c>
      <c r="C62" s="136">
        <v>0.37</v>
      </c>
      <c r="D62" s="137"/>
      <c r="E62" s="135"/>
      <c r="F62" s="135"/>
      <c r="G62" s="135"/>
      <c r="H62" s="135"/>
      <c r="I62" s="135"/>
      <c r="J62" s="135"/>
      <c r="K62" s="135">
        <v>0.37</v>
      </c>
      <c r="L62" s="137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47"/>
      <c r="Y62" s="135"/>
    </row>
    <row r="63" spans="1:26" s="140" customFormat="1" x14ac:dyDescent="0.15">
      <c r="A63" s="135"/>
      <c r="B63" s="135"/>
      <c r="C63" s="136">
        <v>2.95</v>
      </c>
      <c r="D63" s="137"/>
      <c r="E63" s="135"/>
      <c r="F63" s="135"/>
      <c r="G63" s="135"/>
      <c r="H63" s="135"/>
      <c r="I63" s="135"/>
      <c r="J63" s="135"/>
      <c r="K63" s="135">
        <v>2.95</v>
      </c>
      <c r="L63" s="137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47"/>
      <c r="Y63" s="135"/>
    </row>
    <row r="64" spans="1:26" s="140" customFormat="1" x14ac:dyDescent="0.15">
      <c r="A64" s="135"/>
      <c r="B64" s="135"/>
      <c r="C64" s="136"/>
      <c r="D64" s="137"/>
      <c r="E64" s="135"/>
      <c r="F64" s="135"/>
      <c r="G64" s="135"/>
      <c r="H64" s="135"/>
      <c r="I64" s="135"/>
      <c r="J64" s="135"/>
      <c r="K64" s="135"/>
      <c r="L64" s="137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47"/>
      <c r="Y64" s="135"/>
    </row>
    <row r="65" spans="1:25" s="140" customFormat="1" x14ac:dyDescent="0.15">
      <c r="A65" s="135"/>
      <c r="B65" s="135"/>
      <c r="C65" s="136" t="s">
        <v>119</v>
      </c>
      <c r="D65" s="137"/>
      <c r="E65" s="135"/>
      <c r="F65" s="135"/>
      <c r="G65" s="135"/>
      <c r="H65" s="135"/>
      <c r="I65" s="135"/>
      <c r="J65" s="135"/>
      <c r="K65" s="135"/>
      <c r="L65" s="137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47"/>
      <c r="Y65" s="135"/>
    </row>
    <row r="66" spans="1:25" s="140" customFormat="1" x14ac:dyDescent="0.15">
      <c r="A66" s="135"/>
      <c r="B66" s="135"/>
      <c r="C66" s="136" t="s">
        <v>120</v>
      </c>
      <c r="D66" s="137"/>
      <c r="E66" s="135"/>
      <c r="F66" s="135"/>
      <c r="G66" s="135"/>
      <c r="H66" s="135"/>
      <c r="I66" s="135"/>
      <c r="J66" s="135"/>
      <c r="K66" s="135"/>
      <c r="L66" s="137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47"/>
      <c r="Y66" s="135"/>
    </row>
    <row r="67" spans="1:25" s="140" customFormat="1" x14ac:dyDescent="0.15">
      <c r="A67" s="135"/>
      <c r="B67" s="135"/>
      <c r="C67" s="135" t="s">
        <v>4</v>
      </c>
      <c r="D67" s="137"/>
      <c r="E67" s="135"/>
      <c r="F67" s="135"/>
      <c r="G67" s="135"/>
      <c r="H67" s="135"/>
      <c r="I67" s="135"/>
      <c r="J67" s="135"/>
      <c r="K67" s="135"/>
      <c r="L67" s="137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47"/>
      <c r="Y67" s="135"/>
    </row>
    <row r="68" spans="1:25" s="140" customFormat="1" x14ac:dyDescent="0.15">
      <c r="A68" s="135"/>
      <c r="B68" s="135"/>
      <c r="C68" s="135" t="s">
        <v>0</v>
      </c>
      <c r="D68" s="137"/>
      <c r="E68" s="135"/>
      <c r="F68" s="135"/>
      <c r="G68" s="135"/>
      <c r="H68" s="135"/>
      <c r="I68" s="135"/>
      <c r="J68" s="135"/>
      <c r="K68" s="135"/>
      <c r="L68" s="137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47"/>
      <c r="Y68" s="135"/>
    </row>
    <row r="69" spans="1:25" s="140" customFormat="1" x14ac:dyDescent="0.15">
      <c r="A69" s="135"/>
      <c r="B69" s="135"/>
      <c r="C69" s="135" t="s">
        <v>65</v>
      </c>
      <c r="D69" s="137"/>
      <c r="E69" s="135"/>
      <c r="F69" s="135"/>
      <c r="G69" s="135"/>
      <c r="H69" s="135"/>
      <c r="I69" s="135"/>
      <c r="J69" s="135"/>
      <c r="K69" s="135"/>
      <c r="L69" s="137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47"/>
      <c r="Y69" s="135"/>
    </row>
    <row r="70" spans="1:25" s="140" customFormat="1" x14ac:dyDescent="0.15">
      <c r="A70" s="135"/>
      <c r="B70" s="135"/>
      <c r="C70" s="135" t="s">
        <v>66</v>
      </c>
      <c r="D70" s="137"/>
      <c r="E70" s="135"/>
      <c r="F70" s="135"/>
      <c r="G70" s="135"/>
      <c r="H70" s="135"/>
      <c r="I70" s="135"/>
      <c r="J70" s="135"/>
      <c r="K70" s="135"/>
      <c r="L70" s="137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47"/>
      <c r="Y70" s="135"/>
    </row>
    <row r="71" spans="1:25" s="140" customFormat="1" x14ac:dyDescent="0.15">
      <c r="A71" s="135"/>
      <c r="B71" s="135"/>
      <c r="C71" s="135" t="s">
        <v>67</v>
      </c>
      <c r="D71" s="137"/>
      <c r="E71" s="135"/>
      <c r="F71" s="135"/>
      <c r="G71" s="135"/>
      <c r="H71" s="135"/>
      <c r="I71" s="135"/>
      <c r="J71" s="135"/>
      <c r="K71" s="135"/>
      <c r="L71" s="137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47"/>
      <c r="Y71" s="135"/>
    </row>
    <row r="72" spans="1:25" s="140" customFormat="1" x14ac:dyDescent="0.15">
      <c r="A72" s="135"/>
      <c r="B72" s="135"/>
      <c r="C72" s="141" t="s">
        <v>68</v>
      </c>
      <c r="D72" s="137"/>
      <c r="E72" s="135"/>
      <c r="F72" s="135"/>
      <c r="G72" s="135"/>
      <c r="H72" s="135"/>
      <c r="I72" s="135"/>
      <c r="J72" s="135"/>
      <c r="K72" s="135"/>
      <c r="L72" s="137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47"/>
      <c r="Y72" s="135"/>
    </row>
    <row r="73" spans="1:25" s="140" customFormat="1" x14ac:dyDescent="0.15">
      <c r="A73" s="135"/>
      <c r="B73" s="135"/>
      <c r="C73" s="135" t="s">
        <v>69</v>
      </c>
      <c r="D73" s="137"/>
      <c r="E73" s="135"/>
      <c r="F73" s="135"/>
      <c r="G73" s="135"/>
      <c r="H73" s="135"/>
      <c r="I73" s="135"/>
      <c r="J73" s="135"/>
      <c r="K73" s="135"/>
      <c r="L73" s="137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47"/>
      <c r="Y73" s="135"/>
    </row>
    <row r="74" spans="1:25" s="140" customFormat="1" x14ac:dyDescent="0.15">
      <c r="A74" s="135"/>
      <c r="B74" s="135"/>
      <c r="C74" s="136"/>
      <c r="D74" s="137"/>
      <c r="E74" s="135"/>
      <c r="F74" s="135"/>
      <c r="G74" s="135"/>
      <c r="H74" s="135"/>
      <c r="I74" s="135"/>
      <c r="J74" s="135"/>
      <c r="K74" s="135"/>
      <c r="L74" s="137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47"/>
      <c r="Y74" s="135"/>
    </row>
    <row r="75" spans="1:25" s="140" customFormat="1" x14ac:dyDescent="0.15">
      <c r="A75" s="135"/>
      <c r="B75" s="135"/>
      <c r="C75" s="136"/>
      <c r="D75" s="137"/>
      <c r="E75" s="135"/>
      <c r="F75" s="135"/>
      <c r="G75" s="135"/>
      <c r="H75" s="135"/>
      <c r="I75" s="135"/>
      <c r="J75" s="135"/>
      <c r="K75" s="135"/>
      <c r="L75" s="137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47"/>
      <c r="Y75" s="135"/>
    </row>
    <row r="76" spans="1:25" s="140" customFormat="1" x14ac:dyDescent="0.15">
      <c r="A76" s="135"/>
      <c r="B76" s="135"/>
      <c r="C76" s="149" t="s">
        <v>12</v>
      </c>
      <c r="D76" s="149" t="s">
        <v>6</v>
      </c>
      <c r="E76" s="150" t="s">
        <v>46</v>
      </c>
      <c r="F76" s="135"/>
      <c r="G76" s="135"/>
      <c r="H76" s="135"/>
      <c r="I76" s="135"/>
      <c r="J76" s="135"/>
      <c r="K76" s="135"/>
      <c r="L76" s="137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47"/>
      <c r="Y76" s="135"/>
    </row>
    <row r="77" spans="1:25" s="140" customFormat="1" ht="21.75" x14ac:dyDescent="0.15">
      <c r="A77" s="135"/>
      <c r="B77" s="135"/>
      <c r="C77" s="151" t="s">
        <v>14</v>
      </c>
      <c r="D77" s="152" t="s">
        <v>13</v>
      </c>
      <c r="E77" s="153">
        <v>1.5</v>
      </c>
      <c r="F77" s="135"/>
      <c r="G77" s="135"/>
      <c r="H77" s="135"/>
      <c r="I77" s="135"/>
      <c r="J77" s="135"/>
      <c r="K77" s="135"/>
      <c r="L77" s="137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47"/>
      <c r="Y77" s="135"/>
    </row>
    <row r="78" spans="1:25" s="140" customFormat="1" x14ac:dyDescent="0.15">
      <c r="A78" s="135"/>
      <c r="B78" s="135"/>
      <c r="C78" s="151" t="s">
        <v>16</v>
      </c>
      <c r="D78" s="152" t="s">
        <v>15</v>
      </c>
      <c r="E78" s="153">
        <v>4</v>
      </c>
      <c r="F78" s="135"/>
      <c r="G78" s="135"/>
      <c r="H78" s="135"/>
      <c r="I78" s="135"/>
      <c r="J78" s="135"/>
      <c r="K78" s="135"/>
      <c r="L78" s="137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47"/>
      <c r="Y78" s="135"/>
    </row>
    <row r="79" spans="1:25" s="140" customFormat="1" ht="12.75" customHeight="1" x14ac:dyDescent="0.15">
      <c r="A79" s="135"/>
      <c r="B79" s="135"/>
      <c r="C79" s="151" t="s">
        <v>18</v>
      </c>
      <c r="D79" s="152" t="s">
        <v>17</v>
      </c>
      <c r="E79" s="153">
        <v>10</v>
      </c>
      <c r="F79" s="135"/>
      <c r="G79" s="135"/>
      <c r="H79" s="135"/>
      <c r="I79" s="135"/>
      <c r="J79" s="135"/>
      <c r="K79" s="135"/>
      <c r="L79" s="137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47"/>
      <c r="Y79" s="135"/>
    </row>
    <row r="80" spans="1:25" s="140" customFormat="1" x14ac:dyDescent="0.15">
      <c r="A80" s="135"/>
      <c r="B80" s="135"/>
      <c r="C80" s="151" t="s">
        <v>20</v>
      </c>
      <c r="D80" s="152" t="s">
        <v>19</v>
      </c>
      <c r="E80" s="153">
        <v>12</v>
      </c>
      <c r="F80" s="135"/>
      <c r="G80" s="135"/>
      <c r="H80" s="135"/>
      <c r="I80" s="135"/>
      <c r="J80" s="135"/>
      <c r="K80" s="135"/>
      <c r="L80" s="137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47"/>
      <c r="Y80" s="135"/>
    </row>
    <row r="81" spans="1:25" s="140" customFormat="1" x14ac:dyDescent="0.15">
      <c r="A81" s="135"/>
      <c r="B81" s="135"/>
      <c r="C81" s="151" t="s">
        <v>22</v>
      </c>
      <c r="D81" s="152" t="s">
        <v>21</v>
      </c>
      <c r="E81" s="153">
        <v>3</v>
      </c>
      <c r="F81" s="135"/>
      <c r="G81" s="135"/>
      <c r="H81" s="135"/>
      <c r="I81" s="135"/>
      <c r="J81" s="135"/>
      <c r="K81" s="135"/>
      <c r="L81" s="137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47"/>
      <c r="Y81" s="135"/>
    </row>
    <row r="82" spans="1:25" s="140" customFormat="1" x14ac:dyDescent="0.15">
      <c r="A82" s="135"/>
      <c r="B82" s="135"/>
      <c r="C82" s="151" t="s">
        <v>24</v>
      </c>
      <c r="D82" s="152" t="s">
        <v>23</v>
      </c>
      <c r="E82" s="153">
        <v>1.5</v>
      </c>
      <c r="F82" s="135"/>
      <c r="G82" s="135"/>
      <c r="H82" s="135"/>
      <c r="I82" s="135"/>
      <c r="J82" s="135"/>
      <c r="K82" s="135"/>
      <c r="L82" s="137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47"/>
      <c r="Y82" s="135"/>
    </row>
    <row r="83" spans="1:25" s="140" customFormat="1" x14ac:dyDescent="0.15">
      <c r="A83" s="135"/>
      <c r="B83" s="135"/>
      <c r="C83" s="151" t="s">
        <v>26</v>
      </c>
      <c r="D83" s="152" t="s">
        <v>25</v>
      </c>
      <c r="E83" s="153">
        <v>12</v>
      </c>
      <c r="F83" s="135"/>
      <c r="G83" s="135"/>
      <c r="H83" s="135"/>
      <c r="I83" s="135"/>
      <c r="J83" s="135"/>
      <c r="K83" s="135"/>
      <c r="L83" s="137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47"/>
      <c r="Y83" s="135"/>
    </row>
    <row r="84" spans="1:25" s="140" customFormat="1" x14ac:dyDescent="0.15">
      <c r="A84" s="135"/>
      <c r="B84" s="135"/>
      <c r="C84" s="151" t="s">
        <v>28</v>
      </c>
      <c r="D84" s="152" t="s">
        <v>27</v>
      </c>
      <c r="E84" s="153">
        <v>12</v>
      </c>
      <c r="F84" s="135"/>
      <c r="G84" s="135"/>
      <c r="H84" s="135"/>
      <c r="I84" s="135"/>
      <c r="J84" s="135"/>
      <c r="K84" s="135"/>
      <c r="L84" s="137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47"/>
      <c r="Y84" s="135"/>
    </row>
    <row r="85" spans="1:25" s="140" customFormat="1" ht="21.75" x14ac:dyDescent="0.15">
      <c r="A85" s="135"/>
      <c r="B85" s="135"/>
      <c r="C85" s="151" t="s">
        <v>30</v>
      </c>
      <c r="D85" s="152" t="s">
        <v>29</v>
      </c>
      <c r="E85" s="153">
        <v>1.5</v>
      </c>
      <c r="F85" s="135"/>
      <c r="G85" s="135"/>
      <c r="H85" s="135"/>
      <c r="I85" s="135"/>
      <c r="J85" s="135"/>
      <c r="K85" s="135"/>
      <c r="L85" s="137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47"/>
      <c r="Y85" s="135"/>
    </row>
    <row r="86" spans="1:25" s="140" customFormat="1" x14ac:dyDescent="0.15">
      <c r="A86" s="135"/>
      <c r="B86" s="135"/>
      <c r="C86" s="151" t="s">
        <v>32</v>
      </c>
      <c r="D86" s="152" t="s">
        <v>31</v>
      </c>
      <c r="E86" s="153">
        <v>8</v>
      </c>
      <c r="F86" s="135"/>
      <c r="G86" s="135"/>
      <c r="H86" s="135"/>
      <c r="I86" s="135"/>
      <c r="J86" s="135"/>
      <c r="K86" s="135"/>
      <c r="L86" s="137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47"/>
      <c r="Y86" s="135"/>
    </row>
    <row r="87" spans="1:25" s="140" customFormat="1" ht="21.75" x14ac:dyDescent="0.15">
      <c r="A87" s="135"/>
      <c r="B87" s="135"/>
      <c r="C87" s="151" t="s">
        <v>34</v>
      </c>
      <c r="D87" s="152" t="s">
        <v>33</v>
      </c>
      <c r="E87" s="153">
        <v>6</v>
      </c>
      <c r="F87" s="135"/>
      <c r="G87" s="135"/>
      <c r="H87" s="135"/>
      <c r="I87" s="135"/>
      <c r="J87" s="135"/>
      <c r="K87" s="135"/>
      <c r="L87" s="137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47"/>
      <c r="Y87" s="135"/>
    </row>
    <row r="88" spans="1:25" s="140" customFormat="1" ht="21.75" x14ac:dyDescent="0.15">
      <c r="A88" s="135"/>
      <c r="B88" s="135"/>
      <c r="C88" s="151" t="s">
        <v>36</v>
      </c>
      <c r="D88" s="152" t="s">
        <v>35</v>
      </c>
      <c r="E88" s="153">
        <v>6</v>
      </c>
      <c r="F88" s="135"/>
      <c r="G88" s="135"/>
      <c r="H88" s="135"/>
      <c r="I88" s="135"/>
      <c r="J88" s="135"/>
      <c r="K88" s="135"/>
      <c r="L88" s="137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47"/>
      <c r="Y88" s="135"/>
    </row>
    <row r="89" spans="1:25" s="140" customFormat="1" ht="21.75" x14ac:dyDescent="0.15">
      <c r="A89" s="135"/>
      <c r="B89" s="135"/>
      <c r="C89" s="151" t="s">
        <v>83</v>
      </c>
      <c r="D89" s="152" t="s">
        <v>37</v>
      </c>
      <c r="E89" s="153">
        <v>6</v>
      </c>
      <c r="F89" s="135"/>
      <c r="G89" s="135"/>
      <c r="H89" s="135"/>
      <c r="I89" s="135"/>
      <c r="J89" s="135"/>
      <c r="K89" s="135"/>
      <c r="L89" s="137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47"/>
      <c r="Y89" s="135"/>
    </row>
    <row r="90" spans="1:25" s="140" customFormat="1" ht="21.75" x14ac:dyDescent="0.15">
      <c r="A90" s="135"/>
      <c r="B90" s="135"/>
      <c r="C90" s="151" t="s">
        <v>39</v>
      </c>
      <c r="D90" s="152" t="s">
        <v>38</v>
      </c>
      <c r="E90" s="153">
        <v>10</v>
      </c>
      <c r="F90" s="135"/>
      <c r="G90" s="135"/>
      <c r="H90" s="135"/>
      <c r="I90" s="135"/>
      <c r="J90" s="135"/>
      <c r="K90" s="135"/>
      <c r="L90" s="137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47"/>
      <c r="Y90" s="135"/>
    </row>
    <row r="91" spans="1:25" s="140" customFormat="1" ht="21.75" x14ac:dyDescent="0.15">
      <c r="A91" s="135"/>
      <c r="B91" s="135"/>
      <c r="C91" s="151" t="s">
        <v>41</v>
      </c>
      <c r="D91" s="152" t="s">
        <v>40</v>
      </c>
      <c r="E91" s="153">
        <v>6</v>
      </c>
      <c r="F91" s="135"/>
      <c r="G91" s="135"/>
      <c r="H91" s="135"/>
      <c r="I91" s="135"/>
      <c r="J91" s="135"/>
      <c r="K91" s="135"/>
      <c r="L91" s="137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47"/>
      <c r="Y91" s="135"/>
    </row>
    <row r="92" spans="1:25" s="140" customFormat="1" ht="21.75" x14ac:dyDescent="0.15">
      <c r="A92" s="135"/>
      <c r="B92" s="135"/>
      <c r="C92" s="151" t="s">
        <v>43</v>
      </c>
      <c r="D92" s="152" t="s">
        <v>42</v>
      </c>
      <c r="E92" s="153">
        <v>10</v>
      </c>
      <c r="F92" s="135"/>
      <c r="G92" s="135"/>
      <c r="H92" s="135"/>
      <c r="I92" s="135"/>
      <c r="J92" s="135"/>
      <c r="K92" s="135"/>
      <c r="L92" s="137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47"/>
      <c r="Y92" s="135"/>
    </row>
    <row r="93" spans="1:25" s="140" customFormat="1" x14ac:dyDescent="0.15">
      <c r="A93" s="135"/>
      <c r="B93" s="135"/>
      <c r="C93" s="136"/>
      <c r="D93" s="137"/>
      <c r="E93" s="135"/>
      <c r="F93" s="135"/>
      <c r="G93" s="135"/>
      <c r="H93" s="135"/>
      <c r="I93" s="135"/>
      <c r="J93" s="135"/>
      <c r="K93" s="135"/>
      <c r="L93" s="137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47"/>
      <c r="Y93" s="135"/>
    </row>
    <row r="94" spans="1:25" s="140" customFormat="1" x14ac:dyDescent="0.15">
      <c r="A94" s="135"/>
      <c r="B94" s="135"/>
      <c r="C94" s="136"/>
      <c r="D94" s="137"/>
      <c r="E94" s="135"/>
      <c r="F94" s="135"/>
      <c r="G94" s="135"/>
      <c r="H94" s="135"/>
      <c r="I94" s="135"/>
      <c r="J94" s="135"/>
      <c r="K94" s="135"/>
      <c r="L94" s="137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47"/>
      <c r="Y94" s="135"/>
    </row>
    <row r="95" spans="1:25" s="140" customFormat="1" x14ac:dyDescent="0.15">
      <c r="A95" s="135"/>
      <c r="B95" s="135"/>
      <c r="C95" s="141" t="s">
        <v>84</v>
      </c>
      <c r="D95" s="137"/>
      <c r="E95" s="135"/>
      <c r="F95" s="135"/>
      <c r="G95" s="135"/>
      <c r="H95" s="135"/>
      <c r="I95" s="135"/>
      <c r="J95" s="135"/>
      <c r="K95" s="135"/>
      <c r="L95" s="137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47"/>
      <c r="Y95" s="135"/>
    </row>
    <row r="96" spans="1:25" s="140" customFormat="1" x14ac:dyDescent="0.15">
      <c r="A96" s="135"/>
      <c r="B96" s="135"/>
      <c r="C96" s="141" t="s">
        <v>85</v>
      </c>
      <c r="D96" s="137"/>
      <c r="E96" s="135"/>
      <c r="F96" s="135"/>
      <c r="G96" s="135"/>
      <c r="H96" s="135"/>
      <c r="I96" s="135"/>
      <c r="J96" s="135"/>
      <c r="K96" s="135"/>
      <c r="L96" s="137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47"/>
      <c r="Y96" s="135"/>
    </row>
    <row r="97" spans="1:25" s="140" customFormat="1" x14ac:dyDescent="0.15">
      <c r="A97" s="135"/>
      <c r="B97" s="135"/>
      <c r="C97" s="136"/>
      <c r="D97" s="137"/>
      <c r="E97" s="135"/>
      <c r="F97" s="135"/>
      <c r="G97" s="135"/>
      <c r="H97" s="135"/>
      <c r="I97" s="135"/>
      <c r="J97" s="135"/>
      <c r="K97" s="135"/>
      <c r="L97" s="137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47"/>
      <c r="Y97" s="135"/>
    </row>
    <row r="98" spans="1:25" s="140" customFormat="1" x14ac:dyDescent="0.15">
      <c r="A98" s="135"/>
      <c r="B98" s="135"/>
      <c r="C98" s="136"/>
      <c r="D98" s="137"/>
      <c r="E98" s="135"/>
      <c r="F98" s="135"/>
      <c r="G98" s="135"/>
      <c r="H98" s="135"/>
      <c r="I98" s="135"/>
      <c r="J98" s="135"/>
      <c r="K98" s="135"/>
      <c r="L98" s="137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47"/>
      <c r="Y98" s="135"/>
    </row>
    <row r="99" spans="1:25" s="140" customFormat="1" x14ac:dyDescent="0.15">
      <c r="A99" s="135"/>
      <c r="B99" s="135"/>
      <c r="C99" s="136"/>
      <c r="D99" s="137"/>
      <c r="E99" s="135"/>
      <c r="F99" s="135"/>
      <c r="G99" s="135"/>
      <c r="H99" s="135"/>
      <c r="I99" s="135"/>
      <c r="J99" s="135"/>
      <c r="K99" s="135"/>
      <c r="L99" s="137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47"/>
      <c r="Y99" s="135"/>
    </row>
    <row r="100" spans="1:25" s="140" customFormat="1" x14ac:dyDescent="0.15">
      <c r="A100" s="135"/>
      <c r="B100" s="135"/>
      <c r="C100" s="136"/>
      <c r="D100" s="137"/>
      <c r="E100" s="135"/>
      <c r="F100" s="135"/>
      <c r="G100" s="135"/>
      <c r="H100" s="135"/>
      <c r="I100" s="135"/>
      <c r="J100" s="135"/>
      <c r="K100" s="135"/>
      <c r="L100" s="137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47"/>
      <c r="Y100" s="135"/>
    </row>
    <row r="101" spans="1:25" s="140" customFormat="1" x14ac:dyDescent="0.15">
      <c r="A101" s="135"/>
      <c r="B101" s="135"/>
      <c r="C101" s="154" t="s">
        <v>126</v>
      </c>
      <c r="D101" s="154" t="s">
        <v>153</v>
      </c>
      <c r="E101" s="155" t="s">
        <v>154</v>
      </c>
      <c r="F101" s="135"/>
      <c r="G101" s="135"/>
      <c r="H101" s="135"/>
      <c r="I101" s="135"/>
      <c r="J101" s="135"/>
      <c r="K101" s="135"/>
      <c r="L101" s="137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47"/>
      <c r="Y101" s="135"/>
    </row>
    <row r="102" spans="1:25" s="140" customFormat="1" x14ac:dyDescent="0.15">
      <c r="A102" s="135"/>
      <c r="B102" s="135"/>
      <c r="C102" s="156" t="s">
        <v>127</v>
      </c>
      <c r="D102" s="156">
        <v>1</v>
      </c>
      <c r="E102" s="155">
        <v>3.14</v>
      </c>
      <c r="F102" s="157">
        <f>VLOOKUP(D9,C102:E120,2,0)</f>
        <v>1</v>
      </c>
      <c r="G102" s="157">
        <f>VLOOKUP(D9,C102:E120,3,0)</f>
        <v>3.14</v>
      </c>
      <c r="H102" s="135"/>
      <c r="I102" s="135"/>
      <c r="J102" s="135"/>
      <c r="K102" s="135"/>
      <c r="L102" s="137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47"/>
      <c r="Y102" s="135"/>
    </row>
    <row r="103" spans="1:25" s="140" customFormat="1" x14ac:dyDescent="0.15">
      <c r="A103" s="135"/>
      <c r="B103" s="135"/>
      <c r="C103" s="156" t="s">
        <v>128</v>
      </c>
      <c r="D103" s="156">
        <f>E102+0.01</f>
        <v>3.15</v>
      </c>
      <c r="E103" s="155">
        <v>3.54</v>
      </c>
      <c r="F103" s="157">
        <f>VLOOKUP(L9,C102:E121,2,0)</f>
        <v>1</v>
      </c>
      <c r="G103" s="157">
        <f>VLOOKUP(L9,C102:E121,3,0)</f>
        <v>3.14</v>
      </c>
      <c r="H103" s="135"/>
      <c r="I103" s="135"/>
      <c r="J103" s="135"/>
      <c r="K103" s="135"/>
      <c r="L103" s="137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47"/>
      <c r="Y103" s="135"/>
    </row>
    <row r="104" spans="1:25" s="140" customFormat="1" x14ac:dyDescent="0.15">
      <c r="A104" s="135"/>
      <c r="B104" s="135"/>
      <c r="C104" s="156" t="s">
        <v>145</v>
      </c>
      <c r="D104" s="156">
        <f t="shared" ref="D104:D120" si="0">E103+0.01</f>
        <v>3.55</v>
      </c>
      <c r="E104" s="155">
        <v>3.99</v>
      </c>
      <c r="F104" s="135"/>
      <c r="G104" s="135"/>
      <c r="H104" s="135"/>
      <c r="I104" s="135"/>
      <c r="J104" s="135"/>
      <c r="K104" s="135"/>
      <c r="L104" s="137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47"/>
      <c r="Y104" s="135"/>
    </row>
    <row r="105" spans="1:25" s="140" customFormat="1" x14ac:dyDescent="0.15">
      <c r="A105" s="135"/>
      <c r="B105" s="135"/>
      <c r="C105" s="156" t="s">
        <v>129</v>
      </c>
      <c r="D105" s="156">
        <f t="shared" si="0"/>
        <v>4</v>
      </c>
      <c r="E105" s="155">
        <v>4.49</v>
      </c>
      <c r="F105" s="135"/>
      <c r="G105" s="135"/>
      <c r="H105" s="135"/>
      <c r="I105" s="135"/>
      <c r="J105" s="135"/>
      <c r="K105" s="135"/>
      <c r="L105" s="137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47"/>
      <c r="Y105" s="135"/>
    </row>
    <row r="106" spans="1:25" s="140" customFormat="1" x14ac:dyDescent="0.15">
      <c r="A106" s="135"/>
      <c r="B106" s="135"/>
      <c r="C106" s="156" t="s">
        <v>130</v>
      </c>
      <c r="D106" s="156">
        <f t="shared" si="0"/>
        <v>4.5</v>
      </c>
      <c r="E106" s="155">
        <v>4.99</v>
      </c>
      <c r="F106" s="135"/>
      <c r="G106" s="135"/>
      <c r="H106" s="135"/>
      <c r="I106" s="135"/>
      <c r="J106" s="135"/>
      <c r="K106" s="135"/>
      <c r="L106" s="137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47"/>
      <c r="Y106" s="135"/>
    </row>
    <row r="107" spans="1:25" s="140" customFormat="1" x14ac:dyDescent="0.15">
      <c r="A107" s="135"/>
      <c r="B107" s="135"/>
      <c r="C107" s="156" t="s">
        <v>131</v>
      </c>
      <c r="D107" s="156">
        <f t="shared" si="0"/>
        <v>5</v>
      </c>
      <c r="E107" s="155">
        <v>2.59</v>
      </c>
      <c r="F107" s="135"/>
      <c r="G107" s="135"/>
      <c r="H107" s="135"/>
      <c r="I107" s="135"/>
      <c r="J107" s="135"/>
      <c r="K107" s="135"/>
      <c r="L107" s="137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47"/>
      <c r="Y107" s="135"/>
    </row>
    <row r="108" spans="1:25" s="140" customFormat="1" x14ac:dyDescent="0.15">
      <c r="A108" s="135"/>
      <c r="B108" s="135"/>
      <c r="C108" s="156" t="s">
        <v>132</v>
      </c>
      <c r="D108" s="156">
        <f t="shared" si="0"/>
        <v>2.5999999999999996</v>
      </c>
      <c r="E108" s="155">
        <v>6.29</v>
      </c>
      <c r="F108" s="135"/>
      <c r="G108" s="135"/>
      <c r="H108" s="135"/>
      <c r="I108" s="135"/>
      <c r="J108" s="135"/>
      <c r="K108" s="135"/>
      <c r="L108" s="137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47"/>
      <c r="Y108" s="135"/>
    </row>
    <row r="109" spans="1:25" s="140" customFormat="1" x14ac:dyDescent="0.15">
      <c r="A109" s="135"/>
      <c r="B109" s="135"/>
      <c r="C109" s="156" t="s">
        <v>133</v>
      </c>
      <c r="D109" s="156">
        <f t="shared" si="0"/>
        <v>6.3</v>
      </c>
      <c r="E109" s="155">
        <v>7.09</v>
      </c>
      <c r="F109" s="135"/>
      <c r="G109" s="135"/>
      <c r="H109" s="135"/>
      <c r="I109" s="135"/>
      <c r="J109" s="135"/>
      <c r="K109" s="135"/>
      <c r="L109" s="137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47"/>
      <c r="Y109" s="135"/>
    </row>
    <row r="110" spans="1:25" s="140" customFormat="1" x14ac:dyDescent="0.15">
      <c r="A110" s="135"/>
      <c r="B110" s="135"/>
      <c r="C110" s="156" t="s">
        <v>134</v>
      </c>
      <c r="D110" s="156">
        <f t="shared" si="0"/>
        <v>7.1</v>
      </c>
      <c r="E110" s="155">
        <v>7.99</v>
      </c>
      <c r="F110" s="135"/>
      <c r="G110" s="135"/>
      <c r="H110" s="135"/>
      <c r="I110" s="135"/>
      <c r="J110" s="135"/>
      <c r="K110" s="135"/>
      <c r="L110" s="137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47"/>
      <c r="Y110" s="135"/>
    </row>
    <row r="111" spans="1:25" s="140" customFormat="1" x14ac:dyDescent="0.15">
      <c r="A111" s="135"/>
      <c r="B111" s="135"/>
      <c r="C111" s="156" t="s">
        <v>135</v>
      </c>
      <c r="D111" s="156">
        <f t="shared" si="0"/>
        <v>8</v>
      </c>
      <c r="E111" s="155">
        <v>8.99</v>
      </c>
      <c r="F111" s="135"/>
      <c r="G111" s="135"/>
      <c r="H111" s="135"/>
      <c r="I111" s="135"/>
      <c r="J111" s="135"/>
      <c r="K111" s="135"/>
      <c r="L111" s="137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47"/>
      <c r="Y111" s="135"/>
    </row>
    <row r="112" spans="1:25" s="140" customFormat="1" x14ac:dyDescent="0.15">
      <c r="A112" s="135"/>
      <c r="B112" s="135"/>
      <c r="C112" s="156" t="s">
        <v>136</v>
      </c>
      <c r="D112" s="156">
        <f t="shared" si="0"/>
        <v>9</v>
      </c>
      <c r="E112" s="155">
        <v>9.99</v>
      </c>
      <c r="F112" s="135"/>
      <c r="G112" s="135"/>
      <c r="H112" s="135"/>
      <c r="I112" s="135"/>
      <c r="J112" s="135"/>
      <c r="K112" s="135"/>
      <c r="L112" s="137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47"/>
      <c r="Y112" s="135"/>
    </row>
    <row r="113" spans="1:25" s="140" customFormat="1" x14ac:dyDescent="0.15">
      <c r="A113" s="135"/>
      <c r="B113" s="135"/>
      <c r="C113" s="156" t="s">
        <v>137</v>
      </c>
      <c r="D113" s="156">
        <f t="shared" si="0"/>
        <v>10</v>
      </c>
      <c r="E113" s="155">
        <v>11.19</v>
      </c>
      <c r="F113" s="135"/>
      <c r="G113" s="135"/>
      <c r="H113" s="135"/>
      <c r="I113" s="135"/>
      <c r="J113" s="135"/>
      <c r="K113" s="135"/>
      <c r="L113" s="137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47"/>
      <c r="Y113" s="135"/>
    </row>
    <row r="114" spans="1:25" s="140" customFormat="1" x14ac:dyDescent="0.15">
      <c r="A114" s="135"/>
      <c r="B114" s="135"/>
      <c r="C114" s="156" t="s">
        <v>138</v>
      </c>
      <c r="D114" s="156">
        <f t="shared" si="0"/>
        <v>11.2</v>
      </c>
      <c r="E114" s="155">
        <v>12.49</v>
      </c>
      <c r="F114" s="135"/>
      <c r="G114" s="135"/>
      <c r="H114" s="135"/>
      <c r="I114" s="135"/>
      <c r="J114" s="135"/>
      <c r="K114" s="135"/>
      <c r="L114" s="137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47"/>
      <c r="Y114" s="135"/>
    </row>
    <row r="115" spans="1:25" s="140" customFormat="1" x14ac:dyDescent="0.15">
      <c r="A115" s="135"/>
      <c r="B115" s="135"/>
      <c r="C115" s="156" t="s">
        <v>139</v>
      </c>
      <c r="D115" s="156">
        <f t="shared" si="0"/>
        <v>12.5</v>
      </c>
      <c r="E115" s="158">
        <v>13.99</v>
      </c>
      <c r="F115" s="135"/>
      <c r="G115" s="135"/>
      <c r="H115" s="135"/>
      <c r="I115" s="135"/>
      <c r="J115" s="135"/>
      <c r="K115" s="135"/>
      <c r="L115" s="137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47"/>
      <c r="Y115" s="135"/>
    </row>
    <row r="116" spans="1:25" s="140" customFormat="1" x14ac:dyDescent="0.15">
      <c r="A116" s="135"/>
      <c r="B116" s="135"/>
      <c r="C116" s="156" t="s">
        <v>140</v>
      </c>
      <c r="D116" s="156">
        <f t="shared" si="0"/>
        <v>14</v>
      </c>
      <c r="E116" s="158">
        <v>15.99</v>
      </c>
      <c r="F116" s="135"/>
      <c r="G116" s="135"/>
      <c r="H116" s="135"/>
      <c r="I116" s="135"/>
      <c r="J116" s="135"/>
      <c r="K116" s="135"/>
      <c r="L116" s="137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47"/>
      <c r="Y116" s="135"/>
    </row>
    <row r="117" spans="1:25" s="140" customFormat="1" x14ac:dyDescent="0.15">
      <c r="A117" s="135"/>
      <c r="B117" s="135"/>
      <c r="C117" s="156" t="s">
        <v>141</v>
      </c>
      <c r="D117" s="156">
        <f t="shared" si="0"/>
        <v>16</v>
      </c>
      <c r="E117" s="158">
        <v>17.989999999999998</v>
      </c>
      <c r="F117" s="135"/>
      <c r="G117" s="135"/>
      <c r="H117" s="135"/>
      <c r="I117" s="135"/>
      <c r="J117" s="135"/>
      <c r="K117" s="135"/>
      <c r="L117" s="137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47"/>
      <c r="Y117" s="135"/>
    </row>
    <row r="118" spans="1:25" s="140" customFormat="1" x14ac:dyDescent="0.15">
      <c r="A118" s="135"/>
      <c r="B118" s="135"/>
      <c r="C118" s="156" t="s">
        <v>142</v>
      </c>
      <c r="D118" s="156">
        <f t="shared" si="0"/>
        <v>18</v>
      </c>
      <c r="E118" s="158">
        <v>19.989999999999998</v>
      </c>
      <c r="F118" s="135"/>
      <c r="G118" s="135"/>
      <c r="H118" s="135"/>
      <c r="I118" s="135"/>
      <c r="J118" s="135"/>
      <c r="K118" s="135"/>
      <c r="L118" s="137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47"/>
      <c r="Y118" s="135"/>
    </row>
    <row r="119" spans="1:25" s="140" customFormat="1" x14ac:dyDescent="0.15">
      <c r="A119" s="135"/>
      <c r="B119" s="135"/>
      <c r="C119" s="156" t="s">
        <v>143</v>
      </c>
      <c r="D119" s="156">
        <f t="shared" si="0"/>
        <v>20</v>
      </c>
      <c r="E119" s="158">
        <v>22.39</v>
      </c>
      <c r="F119" s="135"/>
      <c r="G119" s="135"/>
      <c r="H119" s="135"/>
      <c r="I119" s="135"/>
      <c r="J119" s="135"/>
      <c r="K119" s="135"/>
      <c r="L119" s="137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47"/>
      <c r="Y119" s="135"/>
    </row>
    <row r="120" spans="1:25" s="140" customFormat="1" x14ac:dyDescent="0.15">
      <c r="A120" s="135"/>
      <c r="B120" s="135"/>
      <c r="C120" s="156" t="s">
        <v>144</v>
      </c>
      <c r="D120" s="156">
        <f t="shared" si="0"/>
        <v>22.400000000000002</v>
      </c>
      <c r="E120" s="158"/>
      <c r="F120" s="135"/>
      <c r="G120" s="135"/>
      <c r="H120" s="135"/>
      <c r="I120" s="135"/>
      <c r="J120" s="135"/>
      <c r="K120" s="135"/>
      <c r="L120" s="137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47"/>
      <c r="Y120" s="135"/>
    </row>
    <row r="121" spans="1:25" s="140" customFormat="1" x14ac:dyDescent="0.15">
      <c r="A121" s="135"/>
      <c r="B121" s="135"/>
      <c r="C121" s="136"/>
      <c r="D121" s="137"/>
      <c r="E121" s="135"/>
      <c r="F121" s="135"/>
      <c r="G121" s="135"/>
      <c r="H121" s="135"/>
      <c r="I121" s="135"/>
      <c r="J121" s="135"/>
      <c r="K121" s="135"/>
      <c r="L121" s="137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47"/>
      <c r="Y121" s="135"/>
    </row>
    <row r="122" spans="1:25" s="140" customFormat="1" x14ac:dyDescent="0.15">
      <c r="A122" s="135"/>
      <c r="B122" s="135"/>
      <c r="C122" s="136"/>
      <c r="D122" s="137"/>
      <c r="E122" s="135"/>
      <c r="F122" s="135"/>
      <c r="G122" s="135"/>
      <c r="H122" s="135"/>
      <c r="I122" s="135"/>
      <c r="J122" s="135"/>
      <c r="K122" s="135"/>
      <c r="L122" s="137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47"/>
      <c r="Y122" s="135"/>
    </row>
    <row r="123" spans="1:25" s="140" customFormat="1" x14ac:dyDescent="0.15">
      <c r="A123" s="135"/>
      <c r="B123" s="135"/>
      <c r="C123" s="136"/>
      <c r="D123" s="137"/>
      <c r="E123" s="135"/>
      <c r="F123" s="135"/>
      <c r="G123" s="135"/>
      <c r="H123" s="135"/>
      <c r="I123" s="135"/>
      <c r="J123" s="135"/>
      <c r="K123" s="135"/>
      <c r="L123" s="137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47"/>
      <c r="Y123" s="135"/>
    </row>
    <row r="124" spans="1:25" s="140" customFormat="1" x14ac:dyDescent="0.15">
      <c r="A124" s="135"/>
      <c r="B124" s="135"/>
      <c r="C124" s="136"/>
      <c r="D124" s="137"/>
      <c r="E124" s="135"/>
      <c r="F124" s="135"/>
      <c r="G124" s="135"/>
      <c r="H124" s="135"/>
      <c r="I124" s="135"/>
      <c r="J124" s="135"/>
      <c r="K124" s="135"/>
      <c r="L124" s="137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47"/>
      <c r="Y124" s="135"/>
    </row>
    <row r="125" spans="1:25" s="140" customFormat="1" x14ac:dyDescent="0.15">
      <c r="A125" s="135"/>
      <c r="B125" s="135"/>
      <c r="C125" s="136"/>
      <c r="D125" s="137"/>
      <c r="E125" s="135"/>
      <c r="F125" s="135"/>
      <c r="G125" s="135"/>
      <c r="H125" s="135"/>
      <c r="I125" s="135"/>
      <c r="J125" s="135"/>
      <c r="K125" s="135"/>
      <c r="L125" s="137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47"/>
      <c r="Y125" s="135"/>
    </row>
    <row r="126" spans="1:25" s="140" customFormat="1" x14ac:dyDescent="0.15">
      <c r="A126" s="135"/>
      <c r="B126" s="135"/>
      <c r="C126" s="136"/>
      <c r="D126" s="137"/>
      <c r="E126" s="135"/>
      <c r="F126" s="135"/>
      <c r="G126" s="135"/>
      <c r="H126" s="135"/>
      <c r="I126" s="135"/>
      <c r="J126" s="135"/>
      <c r="K126" s="135"/>
      <c r="L126" s="137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47"/>
      <c r="Y126" s="135"/>
    </row>
    <row r="127" spans="1:25" s="140" customFormat="1" x14ac:dyDescent="0.15">
      <c r="A127" s="135"/>
      <c r="B127" s="135"/>
      <c r="C127" s="136"/>
      <c r="D127" s="137"/>
      <c r="E127" s="135"/>
      <c r="F127" s="135"/>
      <c r="G127" s="135"/>
      <c r="H127" s="135"/>
      <c r="I127" s="135"/>
      <c r="J127" s="135"/>
      <c r="K127" s="135"/>
      <c r="L127" s="137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47"/>
      <c r="Y127" s="135"/>
    </row>
    <row r="128" spans="1:25" s="140" customFormat="1" x14ac:dyDescent="0.15">
      <c r="A128" s="135"/>
      <c r="B128" s="135"/>
      <c r="C128" s="136"/>
      <c r="D128" s="137"/>
      <c r="E128" s="135"/>
      <c r="F128" s="135"/>
      <c r="G128" s="135"/>
      <c r="H128" s="135"/>
      <c r="I128" s="135"/>
      <c r="J128" s="135"/>
      <c r="K128" s="135"/>
      <c r="L128" s="137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47"/>
      <c r="Y128" s="135"/>
    </row>
    <row r="129" spans="1:25" s="140" customFormat="1" x14ac:dyDescent="0.15">
      <c r="A129" s="135"/>
      <c r="B129" s="135"/>
      <c r="C129" s="136"/>
      <c r="D129" s="137"/>
      <c r="E129" s="135"/>
      <c r="F129" s="135"/>
      <c r="G129" s="135"/>
      <c r="H129" s="135"/>
      <c r="I129" s="135"/>
      <c r="J129" s="135"/>
      <c r="K129" s="135"/>
      <c r="L129" s="137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47"/>
      <c r="Y129" s="135"/>
    </row>
    <row r="130" spans="1:25" s="140" customFormat="1" x14ac:dyDescent="0.15">
      <c r="A130" s="135"/>
      <c r="B130" s="135"/>
      <c r="C130" s="136"/>
      <c r="D130" s="137"/>
      <c r="E130" s="135"/>
      <c r="F130" s="135"/>
      <c r="G130" s="135"/>
      <c r="H130" s="135"/>
      <c r="I130" s="135"/>
      <c r="J130" s="135"/>
      <c r="K130" s="135"/>
      <c r="L130" s="137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47"/>
      <c r="Y130" s="135"/>
    </row>
    <row r="131" spans="1:25" s="140" customFormat="1" x14ac:dyDescent="0.15">
      <c r="A131" s="135"/>
      <c r="B131" s="135"/>
      <c r="C131" s="136"/>
      <c r="D131" s="137"/>
      <c r="E131" s="135"/>
      <c r="F131" s="135"/>
      <c r="G131" s="135"/>
      <c r="H131" s="135"/>
      <c r="I131" s="135"/>
      <c r="J131" s="135"/>
      <c r="K131" s="135"/>
      <c r="L131" s="137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47"/>
      <c r="Y131" s="135"/>
    </row>
    <row r="132" spans="1:25" s="140" customFormat="1" x14ac:dyDescent="0.15">
      <c r="A132" s="135"/>
      <c r="B132" s="135"/>
      <c r="C132" s="136"/>
      <c r="D132" s="137"/>
      <c r="E132" s="135"/>
      <c r="F132" s="135"/>
      <c r="G132" s="135"/>
      <c r="H132" s="135"/>
      <c r="I132" s="135"/>
      <c r="J132" s="135"/>
      <c r="K132" s="135"/>
      <c r="L132" s="137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47"/>
      <c r="Y132" s="135"/>
    </row>
    <row r="133" spans="1:25" s="140" customFormat="1" x14ac:dyDescent="0.15">
      <c r="A133" s="135"/>
      <c r="B133" s="135"/>
      <c r="C133" s="136"/>
      <c r="D133" s="137"/>
      <c r="E133" s="135"/>
      <c r="F133" s="135"/>
      <c r="G133" s="135"/>
      <c r="H133" s="135"/>
      <c r="I133" s="135"/>
      <c r="J133" s="135"/>
      <c r="K133" s="135"/>
      <c r="L133" s="137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47"/>
      <c r="Y133" s="135"/>
    </row>
    <row r="134" spans="1:25" s="140" customFormat="1" x14ac:dyDescent="0.15">
      <c r="A134" s="135"/>
      <c r="B134" s="135"/>
      <c r="C134" s="136"/>
      <c r="D134" s="137"/>
      <c r="E134" s="135"/>
      <c r="F134" s="135"/>
      <c r="G134" s="135"/>
      <c r="H134" s="135"/>
      <c r="I134" s="135"/>
      <c r="J134" s="135"/>
      <c r="K134" s="135"/>
      <c r="L134" s="137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47"/>
      <c r="Y134" s="135"/>
    </row>
    <row r="135" spans="1:25" s="140" customFormat="1" x14ac:dyDescent="0.15">
      <c r="A135" s="135"/>
      <c r="B135" s="135"/>
      <c r="C135" s="136"/>
      <c r="D135" s="137"/>
      <c r="E135" s="135"/>
      <c r="F135" s="135"/>
      <c r="G135" s="135"/>
      <c r="H135" s="135"/>
      <c r="I135" s="135"/>
      <c r="J135" s="135"/>
      <c r="K135" s="135"/>
      <c r="L135" s="137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47"/>
      <c r="Y135" s="135"/>
    </row>
    <row r="136" spans="1:25" s="140" customFormat="1" x14ac:dyDescent="0.15">
      <c r="A136" s="135"/>
      <c r="B136" s="135"/>
      <c r="C136" s="136"/>
      <c r="D136" s="137"/>
      <c r="E136" s="135"/>
      <c r="F136" s="135"/>
      <c r="G136" s="135"/>
      <c r="H136" s="135"/>
      <c r="I136" s="135"/>
      <c r="J136" s="135"/>
      <c r="K136" s="135"/>
      <c r="L136" s="137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47"/>
      <c r="Y136" s="135"/>
    </row>
    <row r="137" spans="1:25" s="140" customFormat="1" x14ac:dyDescent="0.15">
      <c r="A137" s="135"/>
      <c r="B137" s="135"/>
      <c r="C137" s="136"/>
      <c r="D137" s="137"/>
      <c r="E137" s="135"/>
      <c r="F137" s="135"/>
      <c r="G137" s="135"/>
      <c r="H137" s="135"/>
      <c r="I137" s="135"/>
      <c r="J137" s="135"/>
      <c r="K137" s="135"/>
      <c r="L137" s="137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47"/>
      <c r="Y137" s="135"/>
    </row>
    <row r="138" spans="1:25" s="140" customFormat="1" x14ac:dyDescent="0.15">
      <c r="A138" s="135"/>
      <c r="B138" s="135"/>
      <c r="C138" s="136"/>
      <c r="D138" s="137"/>
      <c r="E138" s="135"/>
      <c r="F138" s="135"/>
      <c r="G138" s="135"/>
      <c r="H138" s="135"/>
      <c r="I138" s="135"/>
      <c r="J138" s="135"/>
      <c r="K138" s="135"/>
      <c r="L138" s="137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47"/>
      <c r="Y138" s="135"/>
    </row>
    <row r="139" spans="1:25" s="140" customFormat="1" x14ac:dyDescent="0.15">
      <c r="A139" s="135"/>
      <c r="B139" s="135"/>
      <c r="C139" s="136"/>
      <c r="D139" s="137"/>
      <c r="E139" s="135"/>
      <c r="F139" s="135"/>
      <c r="G139" s="135"/>
      <c r="H139" s="135"/>
      <c r="I139" s="135"/>
      <c r="J139" s="135"/>
      <c r="K139" s="135"/>
      <c r="L139" s="137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47"/>
      <c r="Y139" s="135"/>
    </row>
    <row r="140" spans="1:25" s="140" customFormat="1" x14ac:dyDescent="0.15">
      <c r="A140" s="135"/>
      <c r="B140" s="135"/>
      <c r="C140" s="136"/>
      <c r="D140" s="137"/>
      <c r="E140" s="135"/>
      <c r="F140" s="135"/>
      <c r="G140" s="135"/>
      <c r="H140" s="135"/>
      <c r="I140" s="135"/>
      <c r="J140" s="135"/>
      <c r="K140" s="135"/>
      <c r="L140" s="137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47"/>
      <c r="Y140" s="135"/>
    </row>
    <row r="141" spans="1:25" s="140" customFormat="1" x14ac:dyDescent="0.15">
      <c r="A141" s="135"/>
      <c r="B141" s="135"/>
      <c r="C141" s="136"/>
      <c r="D141" s="137"/>
      <c r="E141" s="135"/>
      <c r="F141" s="135"/>
      <c r="G141" s="135"/>
      <c r="H141" s="135"/>
      <c r="I141" s="135"/>
      <c r="J141" s="135"/>
      <c r="K141" s="135"/>
      <c r="L141" s="137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47"/>
      <c r="Y141" s="135"/>
    </row>
    <row r="142" spans="1:25" s="140" customFormat="1" x14ac:dyDescent="0.15">
      <c r="A142" s="135"/>
      <c r="B142" s="135"/>
      <c r="C142" s="136"/>
      <c r="D142" s="137"/>
      <c r="E142" s="135"/>
      <c r="F142" s="135"/>
      <c r="G142" s="135"/>
      <c r="H142" s="135"/>
      <c r="I142" s="135"/>
      <c r="J142" s="135"/>
      <c r="K142" s="135"/>
      <c r="L142" s="137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47"/>
      <c r="Y142" s="135"/>
    </row>
    <row r="143" spans="1:25" s="140" customFormat="1" x14ac:dyDescent="0.15">
      <c r="A143" s="135"/>
      <c r="B143" s="135"/>
      <c r="C143" s="136"/>
      <c r="D143" s="137"/>
      <c r="E143" s="135"/>
      <c r="F143" s="135"/>
      <c r="G143" s="135"/>
      <c r="H143" s="135"/>
      <c r="I143" s="135"/>
      <c r="J143" s="135"/>
      <c r="K143" s="135"/>
      <c r="L143" s="137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47"/>
      <c r="Y143" s="135"/>
    </row>
    <row r="144" spans="1:25" s="140" customFormat="1" x14ac:dyDescent="0.15">
      <c r="A144" s="135"/>
      <c r="B144" s="135"/>
      <c r="C144" s="136"/>
      <c r="D144" s="137"/>
      <c r="E144" s="135"/>
      <c r="F144" s="135"/>
      <c r="G144" s="135"/>
      <c r="H144" s="135"/>
      <c r="I144" s="135"/>
      <c r="J144" s="135"/>
      <c r="K144" s="135"/>
      <c r="L144" s="137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47"/>
      <c r="Y144" s="135"/>
    </row>
    <row r="145" spans="1:25" s="140" customFormat="1" x14ac:dyDescent="0.15">
      <c r="A145" s="135"/>
      <c r="B145" s="135"/>
      <c r="C145" s="136"/>
      <c r="D145" s="137"/>
      <c r="E145" s="135"/>
      <c r="F145" s="135"/>
      <c r="G145" s="135"/>
      <c r="H145" s="135"/>
      <c r="I145" s="135"/>
      <c r="J145" s="135"/>
      <c r="K145" s="135"/>
      <c r="L145" s="137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47"/>
      <c r="Y145" s="135"/>
    </row>
    <row r="146" spans="1:25" s="140" customFormat="1" x14ac:dyDescent="0.15">
      <c r="A146" s="135"/>
      <c r="B146" s="135"/>
      <c r="C146" s="136"/>
      <c r="D146" s="137"/>
      <c r="E146" s="135"/>
      <c r="F146" s="135"/>
      <c r="G146" s="135"/>
      <c r="H146" s="135"/>
      <c r="I146" s="135"/>
      <c r="J146" s="135"/>
      <c r="K146" s="135"/>
      <c r="L146" s="137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47"/>
      <c r="Y146" s="135"/>
    </row>
    <row r="147" spans="1:25" x14ac:dyDescent="0.15">
      <c r="A147" s="3"/>
      <c r="B147" s="3"/>
      <c r="C147" s="4"/>
      <c r="D147" s="5"/>
      <c r="E147" s="3"/>
      <c r="F147" s="3"/>
      <c r="G147" s="3"/>
      <c r="H147" s="3"/>
      <c r="I147" s="3"/>
      <c r="J147" s="3"/>
      <c r="K147" s="3"/>
      <c r="L147" s="5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40"/>
      <c r="Y147" s="3"/>
    </row>
  </sheetData>
  <sheetProtection password="CE28" sheet="1" objects="1" formatCells="0" formatColumns="0" formatRows="0" sort="0" autoFilter="0" pivotTables="0"/>
  <mergeCells count="12">
    <mergeCell ref="D7:E7"/>
    <mergeCell ref="L7:M7"/>
    <mergeCell ref="D13:G13"/>
    <mergeCell ref="D15:G15"/>
    <mergeCell ref="L13:O13"/>
    <mergeCell ref="L15:O15"/>
    <mergeCell ref="F34:G34"/>
    <mergeCell ref="G3:G5"/>
    <mergeCell ref="O3:O5"/>
    <mergeCell ref="F28:G28"/>
    <mergeCell ref="F29:G29"/>
    <mergeCell ref="F33:G33"/>
  </mergeCells>
  <dataValidations count="7">
    <dataValidation type="list" allowBlank="1" showInputMessage="1" showErrorMessage="1" sqref="L15:O15" xr:uid="{00000000-0002-0000-0000-000000000000}">
      <formula1>$C$95:$C$96</formula1>
    </dataValidation>
    <dataValidation type="list" allowBlank="1" showInputMessage="1" showErrorMessage="1" sqref="P13:R13" xr:uid="{00000000-0002-0000-0000-000001000000}">
      <formula1>$V$8:$V$39</formula1>
    </dataValidation>
    <dataValidation type="list" allowBlank="1" showInputMessage="1" showErrorMessage="1" sqref="D7:E7 L7:M7" xr:uid="{00000000-0002-0000-0000-000002000000}">
      <formula1>$C$69:$C$73</formula1>
    </dataValidation>
    <dataValidation type="list" allowBlank="1" showInputMessage="1" showErrorMessage="1" sqref="E8 M8" xr:uid="{00000000-0002-0000-0000-000003000000}">
      <formula1>$C$67:$C$68</formula1>
    </dataValidation>
    <dataValidation type="list" allowBlank="1" showInputMessage="1" showErrorMessage="1" sqref="D13:G13 L13:O13" xr:uid="{00000000-0002-0000-0000-000004000000}">
      <formula1>$C$77:$C$92</formula1>
    </dataValidation>
    <dataValidation type="list" allowBlank="1" showInputMessage="1" showErrorMessage="1" sqref="D6 L6" xr:uid="{00000000-0002-0000-0000-000005000000}">
      <formula1>$C$65:$C$66</formula1>
    </dataValidation>
    <dataValidation type="list" allowBlank="1" showInputMessage="1" showErrorMessage="1" sqref="D9 L9" xr:uid="{00000000-0002-0000-0000-000006000000}">
      <formula1>$C$102:$C$120</formula1>
    </dataValidation>
  </dataValidations>
  <hyperlinks>
    <hyperlink ref="O3:O5" r:id="rId1" display="Jignesh.parmar www.electricalnotes.wordpress.com jiguparmar@yahoo.com" xr:uid="{00000000-0004-0000-0000-000000000000}"/>
    <hyperlink ref="G3:G5" r:id="rId2" display="Jignesh.parmar www.electricalnotes.wordpress.com jiguparmar@yahoo.com" xr:uid="{00000000-0004-0000-0000-00000100000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1:BA45"/>
  <sheetViews>
    <sheetView showGridLines="0" topLeftCell="A13" zoomScale="90" zoomScaleNormal="90" workbookViewId="0">
      <selection activeCell="BA23" sqref="BA23"/>
    </sheetView>
  </sheetViews>
  <sheetFormatPr defaultRowHeight="15" x14ac:dyDescent="0.2"/>
  <cols>
    <col min="1" max="1" width="3.09375" customWidth="1"/>
    <col min="2" max="2" width="2.28515625" customWidth="1"/>
    <col min="3" max="3" width="3.2265625" style="2" customWidth="1"/>
    <col min="4" max="4" width="1.61328125" style="2" customWidth="1"/>
    <col min="5" max="5" width="2.15234375" style="2" customWidth="1"/>
    <col min="6" max="6" width="1.61328125" style="2" customWidth="1"/>
    <col min="7" max="7" width="2.15234375" style="2" customWidth="1"/>
    <col min="8" max="8" width="1.61328125" style="2" customWidth="1"/>
    <col min="9" max="9" width="2.82421875" style="2" customWidth="1"/>
    <col min="10" max="10" width="1.61328125" style="2" customWidth="1"/>
    <col min="11" max="11" width="3.09375" style="2" customWidth="1"/>
    <col min="12" max="13" width="2.95703125" style="2" customWidth="1"/>
    <col min="14" max="14" width="2.82421875" style="2" customWidth="1"/>
    <col min="15" max="16" width="1.61328125" style="2" customWidth="1"/>
    <col min="17" max="17" width="2.015625" style="2" customWidth="1"/>
    <col min="18" max="18" width="2.15234375" style="2" customWidth="1"/>
    <col min="19" max="19" width="1.61328125" style="2" customWidth="1"/>
    <col min="20" max="20" width="2.15234375" style="2" customWidth="1"/>
    <col min="21" max="21" width="1.61328125" style="2" customWidth="1"/>
    <col min="22" max="22" width="2.15234375" style="2" customWidth="1"/>
    <col min="23" max="23" width="1.61328125" style="2" customWidth="1"/>
    <col min="24" max="24" width="2.82421875" style="2" customWidth="1"/>
    <col min="25" max="25" width="1.4765625" style="2" customWidth="1"/>
    <col min="26" max="27" width="2.95703125" style="2" customWidth="1"/>
    <col min="28" max="31" width="2.6875" style="2" customWidth="1"/>
    <col min="32" max="32" width="2.28515625" style="2" customWidth="1"/>
    <col min="33" max="33" width="2.15234375" style="2" customWidth="1"/>
    <col min="34" max="34" width="2.28515625" style="2" customWidth="1"/>
    <col min="35" max="35" width="2.82421875" customWidth="1"/>
    <col min="36" max="36" width="1.61328125" customWidth="1"/>
    <col min="37" max="38" width="2.82421875" customWidth="1"/>
    <col min="39" max="39" width="3.62890625" customWidth="1"/>
    <col min="40" max="42" width="2.82421875" customWidth="1"/>
    <col min="43" max="43" width="2.95703125" customWidth="1"/>
    <col min="44" max="44" width="2.28515625" customWidth="1"/>
    <col min="45" max="47" width="3.62890625" customWidth="1"/>
    <col min="48" max="48" width="3.09375" customWidth="1"/>
    <col min="49" max="49" width="3.765625" customWidth="1"/>
    <col min="50" max="50" width="2.28515625" customWidth="1"/>
    <col min="51" max="51" width="1.74609375" customWidth="1"/>
    <col min="52" max="52" width="1.61328125" customWidth="1"/>
    <col min="53" max="53" width="58.11328125" style="1" customWidth="1"/>
  </cols>
  <sheetData>
    <row r="1" spans="2:53" ht="8.25" customHeight="1" thickBot="1" x14ac:dyDescent="0.25"/>
    <row r="2" spans="2:53" s="132" customFormat="1" ht="24" thickBot="1" x14ac:dyDescent="0.35">
      <c r="C2" s="177" t="s">
        <v>115</v>
      </c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9"/>
      <c r="BA2" s="133"/>
    </row>
    <row r="3" spans="2:53" ht="5.25" customHeight="1" thickBot="1" x14ac:dyDescent="0.25"/>
    <row r="4" spans="2:53" s="89" customFormat="1" ht="15.75" customHeight="1" thickBot="1" x14ac:dyDescent="0.25">
      <c r="B4" s="181" t="s">
        <v>109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3"/>
      <c r="AH4" s="173" t="s">
        <v>111</v>
      </c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4"/>
      <c r="AW4" s="174"/>
      <c r="AX4" s="174"/>
      <c r="AY4" s="175"/>
      <c r="BA4" s="84" t="s">
        <v>114</v>
      </c>
    </row>
    <row r="5" spans="2:53" ht="15.75" thickBot="1" x14ac:dyDescent="0.25">
      <c r="B5" s="70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71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71"/>
      <c r="AG5" s="57"/>
      <c r="AH5" s="75"/>
      <c r="AI5" s="55"/>
      <c r="AJ5" s="55"/>
      <c r="AK5" s="55"/>
      <c r="AL5" s="55"/>
      <c r="AM5" s="55"/>
      <c r="AN5" s="55"/>
      <c r="AO5" s="55"/>
      <c r="AP5" s="55"/>
      <c r="AQ5" s="55"/>
      <c r="AR5" s="70"/>
      <c r="AS5" s="66"/>
      <c r="AT5" s="66"/>
      <c r="AU5" s="66"/>
      <c r="AV5" s="66"/>
      <c r="AW5" s="66"/>
      <c r="AX5" s="55"/>
      <c r="AY5" s="80"/>
      <c r="BA5" s="85" t="s">
        <v>112</v>
      </c>
    </row>
    <row r="6" spans="2:53" s="95" customFormat="1" ht="15.75" thickBot="1" x14ac:dyDescent="0.25">
      <c r="B6" s="90"/>
      <c r="C6" s="168" t="s">
        <v>87</v>
      </c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70"/>
      <c r="O6" s="91"/>
      <c r="P6" s="92"/>
      <c r="Q6" s="91"/>
      <c r="R6" s="168" t="s">
        <v>88</v>
      </c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70"/>
      <c r="AD6" s="91"/>
      <c r="AE6" s="91"/>
      <c r="AF6" s="92"/>
      <c r="AG6" s="91"/>
      <c r="AH6" s="93"/>
      <c r="AI6" s="168" t="s">
        <v>100</v>
      </c>
      <c r="AJ6" s="169"/>
      <c r="AK6" s="169"/>
      <c r="AL6" s="169"/>
      <c r="AM6" s="169"/>
      <c r="AN6" s="169"/>
      <c r="AO6" s="170"/>
      <c r="AP6" s="94"/>
      <c r="AQ6" s="94"/>
      <c r="AR6" s="90"/>
      <c r="AS6" s="168" t="s">
        <v>106</v>
      </c>
      <c r="AT6" s="169"/>
      <c r="AU6" s="169"/>
      <c r="AV6" s="169"/>
      <c r="AW6" s="170"/>
      <c r="AX6" s="94"/>
      <c r="AY6" s="96"/>
      <c r="BA6" s="97" t="s">
        <v>155</v>
      </c>
    </row>
    <row r="7" spans="2:53" x14ac:dyDescent="0.2">
      <c r="B7" s="70"/>
      <c r="C7" s="57">
        <v>1</v>
      </c>
      <c r="D7" s="57"/>
      <c r="E7" s="57">
        <v>3</v>
      </c>
      <c r="F7" s="57"/>
      <c r="G7" s="57">
        <v>5</v>
      </c>
      <c r="H7" s="57"/>
      <c r="I7" s="57">
        <v>13</v>
      </c>
      <c r="J7" s="57"/>
      <c r="K7" s="57"/>
      <c r="L7" s="57"/>
      <c r="M7" s="57"/>
      <c r="N7" s="57"/>
      <c r="O7" s="57"/>
      <c r="P7" s="71"/>
      <c r="Q7" s="57"/>
      <c r="R7" s="57">
        <v>1</v>
      </c>
      <c r="S7" s="57"/>
      <c r="T7" s="57">
        <v>3</v>
      </c>
      <c r="U7" s="57"/>
      <c r="V7" s="57">
        <v>5</v>
      </c>
      <c r="W7" s="57"/>
      <c r="X7" s="57">
        <v>21</v>
      </c>
      <c r="Y7" s="57"/>
      <c r="Z7" s="57"/>
      <c r="AA7" s="57"/>
      <c r="AB7" s="57"/>
      <c r="AC7" s="57"/>
      <c r="AD7" s="57"/>
      <c r="AE7" s="57"/>
      <c r="AF7" s="71"/>
      <c r="AG7" s="57"/>
      <c r="AH7" s="75"/>
      <c r="AI7" s="57">
        <v>13</v>
      </c>
      <c r="AJ7" s="57"/>
      <c r="AK7" s="57">
        <v>33</v>
      </c>
      <c r="AL7" s="57"/>
      <c r="AM7" s="57">
        <v>43</v>
      </c>
      <c r="AN7" s="57"/>
      <c r="AO7" s="57">
        <v>21</v>
      </c>
      <c r="AP7" s="55"/>
      <c r="AQ7" s="55"/>
      <c r="AR7" s="70"/>
      <c r="AS7" s="57">
        <v>21</v>
      </c>
      <c r="AT7" s="57">
        <v>13</v>
      </c>
      <c r="AU7" s="57"/>
      <c r="AV7" s="57"/>
      <c r="AW7" s="57"/>
      <c r="AX7" s="55"/>
      <c r="AY7" s="80"/>
      <c r="BA7" s="86" t="s">
        <v>156</v>
      </c>
    </row>
    <row r="8" spans="2:53" ht="14.25" customHeight="1" thickBot="1" x14ac:dyDescent="0.25">
      <c r="B8" s="70"/>
      <c r="C8" s="56"/>
      <c r="D8" s="57"/>
      <c r="E8" s="56"/>
      <c r="F8" s="57"/>
      <c r="G8" s="56"/>
      <c r="H8" s="57"/>
      <c r="I8" s="56"/>
      <c r="J8" s="57"/>
      <c r="K8" s="57"/>
      <c r="L8" s="57"/>
      <c r="M8" s="57"/>
      <c r="N8" s="57"/>
      <c r="O8" s="57"/>
      <c r="P8" s="71"/>
      <c r="Q8" s="57"/>
      <c r="R8" s="56"/>
      <c r="S8" s="57"/>
      <c r="T8" s="56"/>
      <c r="U8" s="57"/>
      <c r="V8" s="56"/>
      <c r="W8" s="57"/>
      <c r="X8" s="56"/>
      <c r="Y8" s="57"/>
      <c r="Z8" s="57"/>
      <c r="AA8" s="57"/>
      <c r="AB8" s="57"/>
      <c r="AC8" s="57"/>
      <c r="AD8" s="57"/>
      <c r="AE8" s="57"/>
      <c r="AF8" s="71"/>
      <c r="AG8" s="57"/>
      <c r="AH8" s="75"/>
      <c r="AI8" s="56"/>
      <c r="AJ8" s="57"/>
      <c r="AK8" s="56"/>
      <c r="AL8" s="57"/>
      <c r="AM8" s="56"/>
      <c r="AN8" s="57"/>
      <c r="AO8" s="56"/>
      <c r="AP8" s="55"/>
      <c r="AQ8" s="55"/>
      <c r="AR8" s="70"/>
      <c r="AS8" s="56"/>
      <c r="AT8" s="56"/>
      <c r="AU8" s="57"/>
      <c r="AV8" s="57"/>
      <c r="AW8" s="57"/>
      <c r="AX8" s="55"/>
      <c r="AY8" s="80"/>
      <c r="BA8" s="87"/>
    </row>
    <row r="9" spans="2:53" ht="8.25" customHeight="1" thickBot="1" x14ac:dyDescent="0.25">
      <c r="B9" s="70"/>
      <c r="C9" s="58"/>
      <c r="D9" s="59"/>
      <c r="E9" s="58"/>
      <c r="F9" s="59"/>
      <c r="G9" s="58"/>
      <c r="H9" s="59"/>
      <c r="I9" s="58"/>
      <c r="J9" s="59"/>
      <c r="K9" s="57"/>
      <c r="L9" s="57"/>
      <c r="M9" s="57"/>
      <c r="N9" s="57"/>
      <c r="O9" s="57"/>
      <c r="P9" s="71"/>
      <c r="Q9" s="57"/>
      <c r="R9" s="58"/>
      <c r="S9" s="59"/>
      <c r="T9" s="58"/>
      <c r="U9" s="59"/>
      <c r="V9" s="58"/>
      <c r="W9" s="59"/>
      <c r="X9" s="58"/>
      <c r="Y9" s="62"/>
      <c r="Z9" s="57"/>
      <c r="AA9" s="57"/>
      <c r="AB9" s="57"/>
      <c r="AC9" s="57"/>
      <c r="AD9" s="57"/>
      <c r="AE9" s="57"/>
      <c r="AF9" s="71"/>
      <c r="AG9" s="57"/>
      <c r="AH9" s="75"/>
      <c r="AI9" s="58"/>
      <c r="AJ9" s="59"/>
      <c r="AK9" s="58"/>
      <c r="AL9" s="59"/>
      <c r="AM9" s="58"/>
      <c r="AN9" s="59"/>
      <c r="AO9" s="63"/>
      <c r="AP9" s="55"/>
      <c r="AQ9" s="55"/>
      <c r="AR9" s="70"/>
      <c r="AS9" s="59"/>
      <c r="AT9" s="61"/>
      <c r="AU9" s="59"/>
      <c r="AV9" s="62"/>
      <c r="AW9" s="57"/>
      <c r="AX9" s="55"/>
      <c r="AY9" s="80"/>
    </row>
    <row r="10" spans="2:53" ht="7.5" customHeight="1" x14ac:dyDescent="0.2">
      <c r="B10" s="70"/>
      <c r="C10" s="57"/>
      <c r="D10" s="60"/>
      <c r="E10" s="57"/>
      <c r="F10" s="60"/>
      <c r="G10" s="57"/>
      <c r="H10" s="60"/>
      <c r="I10" s="57"/>
      <c r="J10" s="60"/>
      <c r="K10" s="57"/>
      <c r="L10" s="57"/>
      <c r="M10" s="57"/>
      <c r="N10" s="57"/>
      <c r="O10" s="57"/>
      <c r="P10" s="71"/>
      <c r="Q10" s="57"/>
      <c r="R10" s="57"/>
      <c r="S10" s="60"/>
      <c r="T10" s="57"/>
      <c r="U10" s="60"/>
      <c r="V10" s="57"/>
      <c r="W10" s="60"/>
      <c r="X10" s="57"/>
      <c r="Y10" s="62"/>
      <c r="Z10" s="57"/>
      <c r="AA10" s="57"/>
      <c r="AB10" s="57"/>
      <c r="AC10" s="57"/>
      <c r="AD10" s="57"/>
      <c r="AE10" s="57"/>
      <c r="AF10" s="71"/>
      <c r="AG10" s="57"/>
      <c r="AH10" s="75"/>
      <c r="AI10" s="57"/>
      <c r="AJ10" s="60"/>
      <c r="AK10" s="57"/>
      <c r="AL10" s="60"/>
      <c r="AM10" s="57"/>
      <c r="AN10" s="60"/>
      <c r="AO10" s="65"/>
      <c r="AP10" s="55"/>
      <c r="AQ10" s="55"/>
      <c r="AR10" s="70"/>
      <c r="AS10" s="60"/>
      <c r="AT10" s="62"/>
      <c r="AU10" s="60"/>
      <c r="AV10" s="62"/>
      <c r="AW10" s="57"/>
      <c r="AX10" s="55"/>
      <c r="AY10" s="80"/>
    </row>
    <row r="11" spans="2:53" x14ac:dyDescent="0.2">
      <c r="B11" s="70"/>
      <c r="C11" s="56"/>
      <c r="D11" s="57"/>
      <c r="E11" s="56"/>
      <c r="F11" s="57"/>
      <c r="G11" s="56"/>
      <c r="H11" s="57"/>
      <c r="I11" s="56"/>
      <c r="J11" s="57"/>
      <c r="K11" s="57"/>
      <c r="L11" s="57"/>
      <c r="M11" s="57"/>
      <c r="N11" s="57"/>
      <c r="O11" s="57"/>
      <c r="P11" s="71"/>
      <c r="Q11" s="57"/>
      <c r="R11" s="56"/>
      <c r="S11" s="57"/>
      <c r="T11" s="56"/>
      <c r="U11" s="57"/>
      <c r="V11" s="56"/>
      <c r="W11" s="57"/>
      <c r="X11" s="56"/>
      <c r="Y11" s="57"/>
      <c r="Z11" s="57"/>
      <c r="AA11" s="57"/>
      <c r="AB11" s="57"/>
      <c r="AC11" s="57"/>
      <c r="AD11" s="57"/>
      <c r="AE11" s="57"/>
      <c r="AF11" s="71"/>
      <c r="AG11" s="57"/>
      <c r="AH11" s="75"/>
      <c r="AI11" s="56"/>
      <c r="AJ11" s="57"/>
      <c r="AK11" s="56"/>
      <c r="AL11" s="57"/>
      <c r="AM11" s="56"/>
      <c r="AN11" s="57"/>
      <c r="AO11" s="56"/>
      <c r="AP11" s="55"/>
      <c r="AQ11" s="55"/>
      <c r="AR11" s="70"/>
      <c r="AS11" s="56"/>
      <c r="AT11" s="56"/>
      <c r="AU11" s="57"/>
      <c r="AV11" s="57"/>
      <c r="AW11" s="57"/>
      <c r="AX11" s="55"/>
      <c r="AY11" s="80"/>
      <c r="BA11" s="176" t="s">
        <v>113</v>
      </c>
    </row>
    <row r="12" spans="2:53" x14ac:dyDescent="0.2">
      <c r="B12" s="70"/>
      <c r="C12" s="57">
        <v>2</v>
      </c>
      <c r="D12" s="57"/>
      <c r="E12" s="57">
        <v>4</v>
      </c>
      <c r="F12" s="57"/>
      <c r="G12" s="57">
        <v>6</v>
      </c>
      <c r="H12" s="57"/>
      <c r="I12" s="57">
        <v>14</v>
      </c>
      <c r="J12" s="57"/>
      <c r="K12" s="57"/>
      <c r="L12" s="57"/>
      <c r="M12" s="57"/>
      <c r="N12" s="57"/>
      <c r="O12" s="57"/>
      <c r="P12" s="71"/>
      <c r="Q12" s="57"/>
      <c r="R12" s="57">
        <v>2</v>
      </c>
      <c r="S12" s="57"/>
      <c r="T12" s="57">
        <v>4</v>
      </c>
      <c r="U12" s="57"/>
      <c r="V12" s="57">
        <v>6</v>
      </c>
      <c r="W12" s="57"/>
      <c r="X12" s="57">
        <v>22</v>
      </c>
      <c r="Y12" s="57"/>
      <c r="Z12" s="57"/>
      <c r="AA12" s="57"/>
      <c r="AB12" s="57"/>
      <c r="AC12" s="57"/>
      <c r="AD12" s="57"/>
      <c r="AE12" s="57"/>
      <c r="AF12" s="71"/>
      <c r="AG12" s="57"/>
      <c r="AH12" s="75"/>
      <c r="AI12" s="57">
        <v>14</v>
      </c>
      <c r="AJ12" s="57"/>
      <c r="AK12" s="57">
        <v>34</v>
      </c>
      <c r="AL12" s="57"/>
      <c r="AM12" s="57">
        <v>44</v>
      </c>
      <c r="AN12" s="57"/>
      <c r="AO12" s="57">
        <v>22</v>
      </c>
      <c r="AP12" s="55"/>
      <c r="AQ12" s="55"/>
      <c r="AR12" s="70"/>
      <c r="AS12" s="57">
        <v>22</v>
      </c>
      <c r="AT12" s="57">
        <v>14</v>
      </c>
      <c r="AU12" s="57"/>
      <c r="AV12" s="57"/>
      <c r="AW12" s="57"/>
      <c r="AX12" s="55"/>
      <c r="AY12" s="80"/>
      <c r="BA12" s="176"/>
    </row>
    <row r="13" spans="2:53" x14ac:dyDescent="0.2">
      <c r="B13" s="70"/>
      <c r="C13" s="171" t="s">
        <v>89</v>
      </c>
      <c r="D13" s="171"/>
      <c r="E13" s="171"/>
      <c r="F13" s="171"/>
      <c r="G13" s="171"/>
      <c r="H13" s="57"/>
      <c r="I13" s="57"/>
      <c r="J13" s="57"/>
      <c r="K13" s="57"/>
      <c r="L13" s="57"/>
      <c r="M13" s="57"/>
      <c r="N13" s="57"/>
      <c r="O13" s="57"/>
      <c r="P13" s="71"/>
      <c r="Q13" s="57"/>
      <c r="R13" s="171" t="s">
        <v>90</v>
      </c>
      <c r="S13" s="171"/>
      <c r="T13" s="171"/>
      <c r="U13" s="171"/>
      <c r="V13" s="171"/>
      <c r="W13" s="57"/>
      <c r="X13" s="57"/>
      <c r="Y13" s="57"/>
      <c r="Z13" s="57"/>
      <c r="AA13" s="57"/>
      <c r="AB13" s="57"/>
      <c r="AC13" s="57"/>
      <c r="AD13" s="57"/>
      <c r="AE13" s="57"/>
      <c r="AF13" s="71"/>
      <c r="AG13" s="57"/>
      <c r="AH13" s="75"/>
      <c r="AI13" s="171" t="s">
        <v>101</v>
      </c>
      <c r="AJ13" s="171"/>
      <c r="AK13" s="171"/>
      <c r="AL13" s="171"/>
      <c r="AM13" s="171"/>
      <c r="AN13" s="171"/>
      <c r="AO13" s="171"/>
      <c r="AP13" s="55"/>
      <c r="AQ13" s="55"/>
      <c r="AR13" s="70"/>
      <c r="AS13" s="66" t="s">
        <v>89</v>
      </c>
      <c r="AT13" s="66"/>
      <c r="AU13" s="66"/>
      <c r="AV13" s="66"/>
      <c r="AW13" s="66"/>
      <c r="AX13" s="55"/>
      <c r="AY13" s="80"/>
    </row>
    <row r="14" spans="2:53" ht="15.75" thickBot="1" x14ac:dyDescent="0.25">
      <c r="B14" s="72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4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4"/>
      <c r="AG14" s="57"/>
      <c r="AH14" s="76"/>
      <c r="AI14" s="180" t="s">
        <v>90</v>
      </c>
      <c r="AJ14" s="180"/>
      <c r="AK14" s="180"/>
      <c r="AL14" s="180"/>
      <c r="AM14" s="180"/>
      <c r="AN14" s="81"/>
      <c r="AO14" s="81"/>
      <c r="AP14" s="81"/>
      <c r="AQ14" s="81"/>
      <c r="AR14" s="72"/>
      <c r="AS14" s="83" t="s">
        <v>90</v>
      </c>
      <c r="AT14" s="83"/>
      <c r="AU14" s="83"/>
      <c r="AV14" s="83"/>
      <c r="AW14" s="83"/>
      <c r="AX14" s="81"/>
      <c r="AY14" s="82"/>
    </row>
    <row r="15" spans="2:53" ht="8.25" customHeight="1" thickBot="1" x14ac:dyDescent="0.25">
      <c r="B15" s="70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77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9"/>
      <c r="AG15" s="57"/>
      <c r="AH15" s="77"/>
      <c r="AI15" s="78"/>
      <c r="AJ15" s="78"/>
      <c r="AK15" s="78"/>
      <c r="AL15" s="78"/>
      <c r="AM15" s="78"/>
      <c r="AN15" s="78"/>
      <c r="AO15" s="78"/>
      <c r="AP15" s="78"/>
      <c r="AQ15" s="79"/>
      <c r="AR15" s="70"/>
      <c r="AS15" s="55"/>
      <c r="AT15" s="55"/>
      <c r="AU15" s="55"/>
      <c r="AV15" s="55"/>
      <c r="AW15" s="55"/>
      <c r="AX15" s="55"/>
      <c r="AY15" s="80"/>
    </row>
    <row r="16" spans="2:53" s="95" customFormat="1" ht="15.75" thickBot="1" x14ac:dyDescent="0.25">
      <c r="B16" s="90"/>
      <c r="C16" s="168" t="s">
        <v>93</v>
      </c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70"/>
      <c r="O16" s="91"/>
      <c r="P16" s="91"/>
      <c r="Q16" s="93"/>
      <c r="R16" s="168" t="s">
        <v>94</v>
      </c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70"/>
      <c r="AF16" s="92"/>
      <c r="AG16" s="91"/>
      <c r="AH16" s="93"/>
      <c r="AI16" s="168" t="s">
        <v>102</v>
      </c>
      <c r="AJ16" s="169"/>
      <c r="AK16" s="169"/>
      <c r="AL16" s="169"/>
      <c r="AM16" s="169"/>
      <c r="AN16" s="169"/>
      <c r="AO16" s="170"/>
      <c r="AP16" s="94"/>
      <c r="AQ16" s="96"/>
      <c r="AR16" s="90"/>
      <c r="AS16" s="168" t="s">
        <v>106</v>
      </c>
      <c r="AT16" s="169"/>
      <c r="AU16" s="169"/>
      <c r="AV16" s="169"/>
      <c r="AW16" s="170"/>
      <c r="AX16" s="94"/>
      <c r="AY16" s="96"/>
      <c r="BA16" s="88"/>
    </row>
    <row r="17" spans="2:53" x14ac:dyDescent="0.2">
      <c r="B17" s="70"/>
      <c r="C17" s="57">
        <v>1</v>
      </c>
      <c r="D17" s="57"/>
      <c r="E17" s="57">
        <v>3</v>
      </c>
      <c r="F17" s="57"/>
      <c r="G17" s="57">
        <v>5</v>
      </c>
      <c r="H17" s="57"/>
      <c r="I17" s="57">
        <v>13</v>
      </c>
      <c r="J17" s="57"/>
      <c r="K17" s="57">
        <v>21</v>
      </c>
      <c r="L17" s="57"/>
      <c r="M17" s="57"/>
      <c r="N17" s="57"/>
      <c r="O17" s="57"/>
      <c r="P17" s="57"/>
      <c r="Q17" s="75"/>
      <c r="R17" s="57">
        <v>1</v>
      </c>
      <c r="S17" s="57"/>
      <c r="T17" s="57">
        <v>3</v>
      </c>
      <c r="U17" s="57"/>
      <c r="V17" s="57">
        <v>5</v>
      </c>
      <c r="W17" s="57"/>
      <c r="X17" s="57">
        <v>13</v>
      </c>
      <c r="Y17" s="57"/>
      <c r="Z17" s="57">
        <v>21</v>
      </c>
      <c r="AA17" s="57">
        <v>43</v>
      </c>
      <c r="AB17" s="57"/>
      <c r="AC17" s="57">
        <v>31</v>
      </c>
      <c r="AD17" s="57"/>
      <c r="AE17" s="57"/>
      <c r="AF17" s="71"/>
      <c r="AG17" s="57"/>
      <c r="AH17" s="75"/>
      <c r="AI17" s="57">
        <v>13</v>
      </c>
      <c r="AJ17" s="57"/>
      <c r="AK17" s="57">
        <v>21</v>
      </c>
      <c r="AL17" s="57">
        <v>31</v>
      </c>
      <c r="AM17" s="57">
        <v>43</v>
      </c>
      <c r="AN17" s="57"/>
      <c r="AO17" s="57"/>
      <c r="AP17" s="55"/>
      <c r="AQ17" s="80"/>
      <c r="AR17" s="70"/>
      <c r="AS17" s="57">
        <v>43</v>
      </c>
      <c r="AT17" s="57"/>
      <c r="AU17" s="57">
        <v>31</v>
      </c>
      <c r="AV17" s="57"/>
      <c r="AW17" s="57"/>
      <c r="AX17" s="55"/>
      <c r="AY17" s="80"/>
    </row>
    <row r="18" spans="2:53" ht="14.25" customHeight="1" x14ac:dyDescent="0.2">
      <c r="B18" s="70"/>
      <c r="C18" s="56"/>
      <c r="D18" s="57"/>
      <c r="E18" s="56"/>
      <c r="F18" s="57"/>
      <c r="G18" s="56"/>
      <c r="H18" s="57"/>
      <c r="I18" s="56"/>
      <c r="J18" s="57"/>
      <c r="K18" s="56"/>
      <c r="L18" s="57"/>
      <c r="M18" s="57"/>
      <c r="N18" s="57"/>
      <c r="O18" s="57"/>
      <c r="P18" s="57"/>
      <c r="Q18" s="75"/>
      <c r="R18" s="56"/>
      <c r="S18" s="57"/>
      <c r="T18" s="56"/>
      <c r="U18" s="57"/>
      <c r="V18" s="56"/>
      <c r="W18" s="57"/>
      <c r="X18" s="56"/>
      <c r="Y18" s="57"/>
      <c r="Z18" s="56"/>
      <c r="AA18" s="56"/>
      <c r="AB18" s="57"/>
      <c r="AC18" s="56"/>
      <c r="AD18" s="57"/>
      <c r="AE18" s="57"/>
      <c r="AF18" s="71"/>
      <c r="AG18" s="57"/>
      <c r="AH18" s="75"/>
      <c r="AI18" s="56"/>
      <c r="AJ18" s="57"/>
      <c r="AK18" s="56"/>
      <c r="AL18" s="56"/>
      <c r="AM18" s="56"/>
      <c r="AN18" s="57"/>
      <c r="AO18" s="57"/>
      <c r="AP18" s="55"/>
      <c r="AQ18" s="80"/>
      <c r="AR18" s="70"/>
      <c r="AS18" s="56"/>
      <c r="AT18" s="57"/>
      <c r="AU18" s="56"/>
      <c r="AV18" s="57"/>
      <c r="AW18" s="57"/>
      <c r="AX18" s="55"/>
      <c r="AY18" s="80"/>
    </row>
    <row r="19" spans="2:53" ht="8.25" customHeight="1" thickBot="1" x14ac:dyDescent="0.25">
      <c r="B19" s="70"/>
      <c r="C19" s="58"/>
      <c r="D19" s="59"/>
      <c r="E19" s="58"/>
      <c r="F19" s="59"/>
      <c r="G19" s="58"/>
      <c r="H19" s="59"/>
      <c r="I19" s="58"/>
      <c r="J19" s="59"/>
      <c r="K19" s="63"/>
      <c r="L19" s="57"/>
      <c r="M19" s="57"/>
      <c r="N19" s="57"/>
      <c r="O19" s="57"/>
      <c r="P19" s="57"/>
      <c r="Q19" s="75"/>
      <c r="R19" s="58"/>
      <c r="S19" s="59"/>
      <c r="T19" s="58"/>
      <c r="U19" s="59"/>
      <c r="V19" s="58"/>
      <c r="W19" s="59"/>
      <c r="X19" s="58"/>
      <c r="Y19" s="59"/>
      <c r="Z19" s="63"/>
      <c r="AA19" s="58"/>
      <c r="AB19" s="59"/>
      <c r="AC19" s="63"/>
      <c r="AD19" s="57"/>
      <c r="AE19" s="57"/>
      <c r="AF19" s="71"/>
      <c r="AG19" s="57"/>
      <c r="AH19" s="75"/>
      <c r="AI19" s="58"/>
      <c r="AJ19" s="59"/>
      <c r="AK19" s="63"/>
      <c r="AL19" s="59"/>
      <c r="AM19" s="58"/>
      <c r="AN19" s="59"/>
      <c r="AO19" s="62"/>
      <c r="AP19" s="57"/>
      <c r="AQ19" s="80"/>
      <c r="AR19" s="70"/>
      <c r="AS19" s="58"/>
      <c r="AT19" s="59"/>
      <c r="AU19" s="63"/>
      <c r="AV19" s="62"/>
      <c r="AW19" s="57"/>
      <c r="AX19" s="55"/>
      <c r="AY19" s="80"/>
    </row>
    <row r="20" spans="2:53" ht="8.25" customHeight="1" x14ac:dyDescent="0.2">
      <c r="B20" s="70"/>
      <c r="C20" s="57"/>
      <c r="D20" s="60"/>
      <c r="E20" s="57"/>
      <c r="F20" s="60"/>
      <c r="G20" s="57"/>
      <c r="H20" s="60"/>
      <c r="I20" s="57"/>
      <c r="J20" s="60"/>
      <c r="K20" s="64"/>
      <c r="L20" s="57"/>
      <c r="M20" s="57"/>
      <c r="N20" s="57"/>
      <c r="O20" s="57"/>
      <c r="P20" s="57"/>
      <c r="Q20" s="75"/>
      <c r="R20" s="57"/>
      <c r="S20" s="60"/>
      <c r="T20" s="57"/>
      <c r="U20" s="60"/>
      <c r="V20" s="57"/>
      <c r="W20" s="60"/>
      <c r="X20" s="57"/>
      <c r="Y20" s="60"/>
      <c r="Z20" s="64"/>
      <c r="AA20" s="57"/>
      <c r="AB20" s="60"/>
      <c r="AC20" s="64"/>
      <c r="AD20" s="57"/>
      <c r="AE20" s="57"/>
      <c r="AF20" s="71"/>
      <c r="AG20" s="57"/>
      <c r="AH20" s="75"/>
      <c r="AI20" s="57"/>
      <c r="AJ20" s="60"/>
      <c r="AK20" s="64"/>
      <c r="AL20" s="60"/>
      <c r="AM20" s="57"/>
      <c r="AN20" s="60"/>
      <c r="AO20" s="62"/>
      <c r="AP20" s="57"/>
      <c r="AQ20" s="80"/>
      <c r="AR20" s="70"/>
      <c r="AS20" s="57"/>
      <c r="AT20" s="60"/>
      <c r="AU20" s="64"/>
      <c r="AV20" s="62"/>
      <c r="AW20" s="57"/>
      <c r="AX20" s="55"/>
      <c r="AY20" s="80"/>
    </row>
    <row r="21" spans="2:53" ht="14.25" customHeight="1" x14ac:dyDescent="0.2">
      <c r="B21" s="70"/>
      <c r="C21" s="56"/>
      <c r="D21" s="57"/>
      <c r="E21" s="56"/>
      <c r="F21" s="57"/>
      <c r="G21" s="56"/>
      <c r="H21" s="57"/>
      <c r="I21" s="56"/>
      <c r="J21" s="57"/>
      <c r="K21" s="56"/>
      <c r="L21" s="57"/>
      <c r="M21" s="57"/>
      <c r="N21" s="57"/>
      <c r="O21" s="57"/>
      <c r="P21" s="57"/>
      <c r="Q21" s="75"/>
      <c r="R21" s="56"/>
      <c r="S21" s="57"/>
      <c r="T21" s="56"/>
      <c r="U21" s="57"/>
      <c r="V21" s="56"/>
      <c r="W21" s="57"/>
      <c r="X21" s="56"/>
      <c r="Y21" s="57"/>
      <c r="Z21" s="56"/>
      <c r="AA21" s="56"/>
      <c r="AB21" s="57"/>
      <c r="AC21" s="56"/>
      <c r="AD21" s="57"/>
      <c r="AE21" s="57"/>
      <c r="AF21" s="71"/>
      <c r="AG21" s="57"/>
      <c r="AH21" s="75"/>
      <c r="AI21" s="56"/>
      <c r="AJ21" s="57"/>
      <c r="AK21" s="56"/>
      <c r="AL21" s="56"/>
      <c r="AM21" s="56"/>
      <c r="AN21" s="57"/>
      <c r="AO21" s="57"/>
      <c r="AP21" s="55"/>
      <c r="AQ21" s="80"/>
      <c r="AR21" s="70"/>
      <c r="AS21" s="56"/>
      <c r="AT21" s="57"/>
      <c r="AU21" s="56"/>
      <c r="AV21" s="57"/>
      <c r="AW21" s="57"/>
      <c r="AX21" s="55"/>
      <c r="AY21" s="80"/>
    </row>
    <row r="22" spans="2:53" x14ac:dyDescent="0.2">
      <c r="B22" s="70"/>
      <c r="C22" s="57">
        <v>2</v>
      </c>
      <c r="D22" s="57"/>
      <c r="E22" s="57">
        <v>4</v>
      </c>
      <c r="F22" s="57"/>
      <c r="G22" s="57">
        <v>6</v>
      </c>
      <c r="H22" s="57"/>
      <c r="I22" s="57">
        <v>14</v>
      </c>
      <c r="J22" s="57"/>
      <c r="K22" s="57">
        <v>22</v>
      </c>
      <c r="L22" s="57"/>
      <c r="M22" s="57"/>
      <c r="N22" s="57"/>
      <c r="O22" s="57"/>
      <c r="P22" s="57"/>
      <c r="Q22" s="75"/>
      <c r="R22" s="57">
        <v>2</v>
      </c>
      <c r="S22" s="57"/>
      <c r="T22" s="57">
        <v>4</v>
      </c>
      <c r="U22" s="57"/>
      <c r="V22" s="57">
        <v>6</v>
      </c>
      <c r="W22" s="57"/>
      <c r="X22" s="57">
        <v>14</v>
      </c>
      <c r="Y22" s="57"/>
      <c r="Z22" s="57">
        <v>22</v>
      </c>
      <c r="AA22" s="57">
        <v>44</v>
      </c>
      <c r="AB22" s="57"/>
      <c r="AC22" s="57">
        <v>32</v>
      </c>
      <c r="AD22" s="57"/>
      <c r="AE22" s="57"/>
      <c r="AF22" s="71"/>
      <c r="AG22" s="57"/>
      <c r="AH22" s="75"/>
      <c r="AI22" s="57">
        <v>14</v>
      </c>
      <c r="AJ22" s="57"/>
      <c r="AK22" s="57">
        <v>22</v>
      </c>
      <c r="AL22" s="57">
        <v>32</v>
      </c>
      <c r="AM22" s="57">
        <v>44</v>
      </c>
      <c r="AN22" s="57"/>
      <c r="AO22" s="57"/>
      <c r="AP22" s="55"/>
      <c r="AQ22" s="80"/>
      <c r="AR22" s="70"/>
      <c r="AS22" s="57">
        <v>44</v>
      </c>
      <c r="AT22" s="57"/>
      <c r="AU22" s="57">
        <v>32</v>
      </c>
      <c r="AV22" s="57"/>
      <c r="AW22" s="57"/>
      <c r="AX22" s="55"/>
      <c r="AY22" s="80"/>
    </row>
    <row r="23" spans="2:53" x14ac:dyDescent="0.2">
      <c r="B23" s="70"/>
      <c r="C23" s="171" t="s">
        <v>89</v>
      </c>
      <c r="D23" s="171"/>
      <c r="E23" s="171"/>
      <c r="F23" s="171"/>
      <c r="G23" s="171"/>
      <c r="H23" s="57"/>
      <c r="I23" s="57"/>
      <c r="J23" s="57"/>
      <c r="K23" s="57"/>
      <c r="L23" s="57"/>
      <c r="M23" s="57"/>
      <c r="N23" s="57"/>
      <c r="O23" s="57"/>
      <c r="P23" s="57"/>
      <c r="Q23" s="75"/>
      <c r="R23" s="171" t="s">
        <v>91</v>
      </c>
      <c r="S23" s="171"/>
      <c r="T23" s="171"/>
      <c r="U23" s="171"/>
      <c r="V23" s="171"/>
      <c r="W23" s="171"/>
      <c r="X23" s="171"/>
      <c r="Y23" s="171"/>
      <c r="Z23" s="171"/>
      <c r="AA23" s="57"/>
      <c r="AB23" s="57"/>
      <c r="AC23" s="57"/>
      <c r="AD23" s="57"/>
      <c r="AE23" s="57"/>
      <c r="AF23" s="71"/>
      <c r="AG23" s="57"/>
      <c r="AH23" s="75"/>
      <c r="AI23" s="171" t="s">
        <v>91</v>
      </c>
      <c r="AJ23" s="171"/>
      <c r="AK23" s="171"/>
      <c r="AL23" s="171"/>
      <c r="AM23" s="171"/>
      <c r="AN23" s="171"/>
      <c r="AO23" s="171"/>
      <c r="AP23" s="55"/>
      <c r="AQ23" s="80"/>
      <c r="AR23" s="70"/>
      <c r="AS23" s="66" t="s">
        <v>107</v>
      </c>
      <c r="AT23" s="66"/>
      <c r="AU23" s="66"/>
      <c r="AV23" s="66"/>
      <c r="AW23" s="66"/>
      <c r="AX23" s="55"/>
      <c r="AY23" s="80"/>
    </row>
    <row r="24" spans="2:53" ht="15.75" thickBot="1" x14ac:dyDescent="0.25">
      <c r="B24" s="70"/>
      <c r="C24" s="171" t="s">
        <v>90</v>
      </c>
      <c r="D24" s="171"/>
      <c r="E24" s="171"/>
      <c r="F24" s="171"/>
      <c r="G24" s="171"/>
      <c r="H24" s="57"/>
      <c r="I24" s="57"/>
      <c r="J24" s="57"/>
      <c r="K24" s="57"/>
      <c r="L24" s="57"/>
      <c r="M24" s="57"/>
      <c r="N24" s="57"/>
      <c r="O24" s="57"/>
      <c r="P24" s="57"/>
      <c r="Q24" s="75"/>
      <c r="R24" s="171" t="s">
        <v>92</v>
      </c>
      <c r="S24" s="171"/>
      <c r="T24" s="171"/>
      <c r="U24" s="171"/>
      <c r="V24" s="171"/>
      <c r="W24" s="171"/>
      <c r="X24" s="171"/>
      <c r="Y24" s="171"/>
      <c r="Z24" s="171"/>
      <c r="AA24" s="57"/>
      <c r="AB24" s="57"/>
      <c r="AC24" s="57"/>
      <c r="AD24" s="57"/>
      <c r="AE24" s="57"/>
      <c r="AF24" s="71"/>
      <c r="AG24" s="57"/>
      <c r="AH24" s="75"/>
      <c r="AI24" s="171" t="s">
        <v>92</v>
      </c>
      <c r="AJ24" s="171"/>
      <c r="AK24" s="171"/>
      <c r="AL24" s="171"/>
      <c r="AM24" s="171"/>
      <c r="AN24" s="55"/>
      <c r="AO24" s="55"/>
      <c r="AP24" s="55"/>
      <c r="AQ24" s="80"/>
      <c r="AR24" s="70"/>
      <c r="AS24" s="66" t="s">
        <v>108</v>
      </c>
      <c r="AT24" s="66"/>
      <c r="AU24" s="66"/>
      <c r="AV24" s="66"/>
      <c r="AW24" s="66"/>
      <c r="AX24" s="55"/>
      <c r="AY24" s="80"/>
      <c r="BA24" s="88"/>
    </row>
    <row r="25" spans="2:53" ht="15.75" thickBot="1" x14ac:dyDescent="0.25">
      <c r="B25" s="67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9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9"/>
      <c r="AG25" s="57"/>
      <c r="AH25" s="77"/>
      <c r="AI25" s="78"/>
      <c r="AJ25" s="78"/>
      <c r="AK25" s="78"/>
      <c r="AL25" s="78"/>
      <c r="AM25" s="78"/>
      <c r="AN25" s="78"/>
      <c r="AO25" s="78"/>
      <c r="AP25" s="78"/>
      <c r="AQ25" s="78"/>
      <c r="AR25" s="67"/>
      <c r="AS25" s="78"/>
      <c r="AT25" s="78"/>
      <c r="AU25" s="78"/>
      <c r="AV25" s="78"/>
      <c r="AW25" s="78"/>
      <c r="AX25" s="78"/>
      <c r="AY25" s="79"/>
    </row>
    <row r="26" spans="2:53" s="95" customFormat="1" ht="15.75" thickBot="1" x14ac:dyDescent="0.25">
      <c r="B26" s="90"/>
      <c r="C26" s="168" t="s">
        <v>95</v>
      </c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70"/>
      <c r="O26" s="91"/>
      <c r="P26" s="92"/>
      <c r="Q26" s="91"/>
      <c r="R26" s="168" t="s">
        <v>94</v>
      </c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70"/>
      <c r="AF26" s="92"/>
      <c r="AG26" s="91"/>
      <c r="AH26" s="93"/>
      <c r="AI26" s="168" t="s">
        <v>102</v>
      </c>
      <c r="AJ26" s="169"/>
      <c r="AK26" s="169"/>
      <c r="AL26" s="169"/>
      <c r="AM26" s="169"/>
      <c r="AN26" s="169"/>
      <c r="AO26" s="170"/>
      <c r="AP26" s="94"/>
      <c r="AQ26" s="94"/>
      <c r="AR26" s="90"/>
      <c r="AS26" s="168" t="s">
        <v>102</v>
      </c>
      <c r="AT26" s="169"/>
      <c r="AU26" s="169"/>
      <c r="AV26" s="169"/>
      <c r="AW26" s="169"/>
      <c r="AX26" s="170"/>
      <c r="AY26" s="92"/>
      <c r="BA26" s="88"/>
    </row>
    <row r="27" spans="2:53" x14ac:dyDescent="0.2">
      <c r="B27" s="70"/>
      <c r="C27" s="57">
        <v>1</v>
      </c>
      <c r="D27" s="57"/>
      <c r="E27" s="57">
        <v>3</v>
      </c>
      <c r="F27" s="57"/>
      <c r="G27" s="57">
        <v>5</v>
      </c>
      <c r="H27" s="57"/>
      <c r="I27" s="57">
        <v>13</v>
      </c>
      <c r="J27" s="57"/>
      <c r="K27" s="57">
        <v>21</v>
      </c>
      <c r="L27" s="57">
        <v>31</v>
      </c>
      <c r="M27" s="57">
        <v>41</v>
      </c>
      <c r="N27" s="57">
        <v>53</v>
      </c>
      <c r="O27" s="57"/>
      <c r="P27" s="71"/>
      <c r="Q27" s="57"/>
      <c r="R27" s="57">
        <v>1</v>
      </c>
      <c r="S27" s="57"/>
      <c r="T27" s="57">
        <v>3</v>
      </c>
      <c r="U27" s="57"/>
      <c r="V27" s="57">
        <v>5</v>
      </c>
      <c r="W27" s="57"/>
      <c r="X27" s="57">
        <v>13</v>
      </c>
      <c r="Y27" s="57"/>
      <c r="Z27" s="57">
        <v>43</v>
      </c>
      <c r="AA27" s="57"/>
      <c r="AB27" s="57">
        <v>53</v>
      </c>
      <c r="AC27" s="57"/>
      <c r="AD27" s="57">
        <v>21</v>
      </c>
      <c r="AE27" s="57">
        <v>31</v>
      </c>
      <c r="AF27" s="71"/>
      <c r="AG27" s="57"/>
      <c r="AH27" s="75"/>
      <c r="AI27" s="57">
        <v>53</v>
      </c>
      <c r="AJ27" s="57"/>
      <c r="AK27" s="57">
        <v>61</v>
      </c>
      <c r="AL27" s="57">
        <v>71</v>
      </c>
      <c r="AM27" s="57">
        <v>83</v>
      </c>
      <c r="AN27" s="57"/>
      <c r="AO27" s="57"/>
      <c r="AP27" s="55"/>
      <c r="AQ27" s="55"/>
      <c r="AR27" s="70"/>
      <c r="AS27" s="57">
        <v>53</v>
      </c>
      <c r="AT27" s="57"/>
      <c r="AU27" s="57">
        <v>61</v>
      </c>
      <c r="AV27" s="57">
        <v>71</v>
      </c>
      <c r="AW27" s="57">
        <v>83</v>
      </c>
      <c r="AX27" s="57"/>
      <c r="AY27" s="71"/>
    </row>
    <row r="28" spans="2:53" ht="14.25" customHeight="1" x14ac:dyDescent="0.2">
      <c r="B28" s="70"/>
      <c r="C28" s="56"/>
      <c r="D28" s="57"/>
      <c r="E28" s="56"/>
      <c r="F28" s="57"/>
      <c r="G28" s="56"/>
      <c r="H28" s="57"/>
      <c r="I28" s="56"/>
      <c r="J28" s="57"/>
      <c r="K28" s="56"/>
      <c r="L28" s="56"/>
      <c r="M28" s="56"/>
      <c r="N28" s="56"/>
      <c r="O28" s="57"/>
      <c r="P28" s="71"/>
      <c r="Q28" s="57"/>
      <c r="R28" s="56"/>
      <c r="S28" s="57"/>
      <c r="T28" s="56"/>
      <c r="U28" s="57"/>
      <c r="V28" s="56"/>
      <c r="W28" s="57"/>
      <c r="X28" s="56"/>
      <c r="Y28" s="57"/>
      <c r="Z28" s="56"/>
      <c r="AA28" s="57"/>
      <c r="AB28" s="56"/>
      <c r="AC28" s="57"/>
      <c r="AD28" s="56"/>
      <c r="AE28" s="56"/>
      <c r="AF28" s="71"/>
      <c r="AG28" s="57"/>
      <c r="AH28" s="75"/>
      <c r="AI28" s="56"/>
      <c r="AJ28" s="57"/>
      <c r="AK28" s="56"/>
      <c r="AL28" s="56"/>
      <c r="AM28" s="56"/>
      <c r="AN28" s="57"/>
      <c r="AO28" s="57"/>
      <c r="AP28" s="55"/>
      <c r="AQ28" s="55"/>
      <c r="AR28" s="70"/>
      <c r="AS28" s="56"/>
      <c r="AT28" s="57"/>
      <c r="AU28" s="56"/>
      <c r="AV28" s="56"/>
      <c r="AW28" s="56"/>
      <c r="AX28" s="57"/>
      <c r="AY28" s="71"/>
    </row>
    <row r="29" spans="2:53" ht="8.25" customHeight="1" thickBot="1" x14ac:dyDescent="0.25">
      <c r="B29" s="70"/>
      <c r="C29" s="58"/>
      <c r="D29" s="59"/>
      <c r="E29" s="58"/>
      <c r="F29" s="59"/>
      <c r="G29" s="58"/>
      <c r="H29" s="59"/>
      <c r="I29" s="58"/>
      <c r="J29" s="59"/>
      <c r="K29" s="63"/>
      <c r="L29" s="63"/>
      <c r="M29" s="63"/>
      <c r="N29" s="58"/>
      <c r="O29" s="59"/>
      <c r="P29" s="71"/>
      <c r="Q29" s="57"/>
      <c r="R29" s="58"/>
      <c r="S29" s="59"/>
      <c r="T29" s="58"/>
      <c r="U29" s="59"/>
      <c r="V29" s="58"/>
      <c r="W29" s="59"/>
      <c r="X29" s="58"/>
      <c r="Y29" s="59"/>
      <c r="Z29" s="58"/>
      <c r="AA29" s="59"/>
      <c r="AB29" s="58"/>
      <c r="AC29" s="59"/>
      <c r="AD29" s="63"/>
      <c r="AE29" s="63"/>
      <c r="AF29" s="71"/>
      <c r="AG29" s="57"/>
      <c r="AH29" s="75"/>
      <c r="AI29" s="58"/>
      <c r="AJ29" s="59"/>
      <c r="AK29" s="63"/>
      <c r="AL29" s="59"/>
      <c r="AM29" s="58"/>
      <c r="AN29" s="59"/>
      <c r="AO29" s="62"/>
      <c r="AP29" s="55"/>
      <c r="AQ29" s="55"/>
      <c r="AR29" s="70"/>
      <c r="AS29" s="58"/>
      <c r="AT29" s="59"/>
      <c r="AU29" s="63"/>
      <c r="AV29" s="59"/>
      <c r="AW29" s="61"/>
      <c r="AX29" s="59"/>
      <c r="AY29" s="71"/>
    </row>
    <row r="30" spans="2:53" ht="8.25" customHeight="1" x14ac:dyDescent="0.2">
      <c r="B30" s="70"/>
      <c r="C30" s="57"/>
      <c r="D30" s="60"/>
      <c r="E30" s="57"/>
      <c r="F30" s="60"/>
      <c r="G30" s="57"/>
      <c r="H30" s="60"/>
      <c r="I30" s="57"/>
      <c r="J30" s="60"/>
      <c r="K30" s="64"/>
      <c r="L30" s="64"/>
      <c r="M30" s="64"/>
      <c r="N30" s="57"/>
      <c r="O30" s="60"/>
      <c r="P30" s="71"/>
      <c r="Q30" s="57"/>
      <c r="R30" s="57"/>
      <c r="S30" s="60"/>
      <c r="T30" s="57"/>
      <c r="U30" s="60"/>
      <c r="V30" s="57"/>
      <c r="W30" s="60"/>
      <c r="X30" s="57"/>
      <c r="Y30" s="60"/>
      <c r="Z30" s="57"/>
      <c r="AA30" s="60"/>
      <c r="AB30" s="57"/>
      <c r="AC30" s="60"/>
      <c r="AD30" s="64"/>
      <c r="AE30" s="64"/>
      <c r="AF30" s="71"/>
      <c r="AG30" s="57"/>
      <c r="AH30" s="75"/>
      <c r="AI30" s="57"/>
      <c r="AJ30" s="60"/>
      <c r="AK30" s="64"/>
      <c r="AL30" s="60"/>
      <c r="AM30" s="57"/>
      <c r="AN30" s="60"/>
      <c r="AO30" s="62"/>
      <c r="AP30" s="55"/>
      <c r="AQ30" s="55"/>
      <c r="AR30" s="70"/>
      <c r="AS30" s="57"/>
      <c r="AT30" s="60"/>
      <c r="AU30" s="64"/>
      <c r="AV30" s="60"/>
      <c r="AW30" s="62"/>
      <c r="AX30" s="60"/>
      <c r="AY30" s="71"/>
    </row>
    <row r="31" spans="2:53" ht="14.25" customHeight="1" x14ac:dyDescent="0.2">
      <c r="B31" s="70"/>
      <c r="C31" s="56"/>
      <c r="D31" s="57"/>
      <c r="E31" s="56"/>
      <c r="F31" s="57"/>
      <c r="G31" s="56"/>
      <c r="H31" s="57"/>
      <c r="I31" s="56"/>
      <c r="J31" s="57"/>
      <c r="K31" s="56"/>
      <c r="L31" s="56"/>
      <c r="M31" s="56"/>
      <c r="N31" s="56"/>
      <c r="O31" s="57"/>
      <c r="P31" s="71"/>
      <c r="Q31" s="57"/>
      <c r="R31" s="56"/>
      <c r="S31" s="57"/>
      <c r="T31" s="56"/>
      <c r="U31" s="57"/>
      <c r="V31" s="56"/>
      <c r="W31" s="57"/>
      <c r="X31" s="56"/>
      <c r="Y31" s="57"/>
      <c r="Z31" s="56"/>
      <c r="AA31" s="57"/>
      <c r="AB31" s="56"/>
      <c r="AC31" s="57"/>
      <c r="AD31" s="56"/>
      <c r="AE31" s="56"/>
      <c r="AF31" s="71"/>
      <c r="AG31" s="57"/>
      <c r="AH31" s="75"/>
      <c r="AI31" s="56"/>
      <c r="AJ31" s="57"/>
      <c r="AK31" s="56"/>
      <c r="AL31" s="56"/>
      <c r="AM31" s="56"/>
      <c r="AN31" s="57"/>
      <c r="AO31" s="57"/>
      <c r="AP31" s="55"/>
      <c r="AQ31" s="55"/>
      <c r="AR31" s="70"/>
      <c r="AS31" s="56"/>
      <c r="AT31" s="57"/>
      <c r="AU31" s="56"/>
      <c r="AV31" s="56"/>
      <c r="AW31" s="56"/>
      <c r="AX31" s="57"/>
      <c r="AY31" s="71"/>
    </row>
    <row r="32" spans="2:53" x14ac:dyDescent="0.2">
      <c r="B32" s="70"/>
      <c r="C32" s="57">
        <v>2</v>
      </c>
      <c r="D32" s="57"/>
      <c r="E32" s="57">
        <v>4</v>
      </c>
      <c r="F32" s="57"/>
      <c r="G32" s="57">
        <v>6</v>
      </c>
      <c r="H32" s="57"/>
      <c r="I32" s="57">
        <v>14</v>
      </c>
      <c r="J32" s="57"/>
      <c r="K32" s="57">
        <v>22</v>
      </c>
      <c r="L32" s="57">
        <v>32</v>
      </c>
      <c r="M32" s="57">
        <v>42</v>
      </c>
      <c r="N32" s="57">
        <v>54</v>
      </c>
      <c r="O32" s="57"/>
      <c r="P32" s="71"/>
      <c r="Q32" s="57"/>
      <c r="R32" s="57">
        <v>2</v>
      </c>
      <c r="S32" s="57"/>
      <c r="T32" s="57">
        <v>4</v>
      </c>
      <c r="U32" s="57"/>
      <c r="V32" s="57">
        <v>6</v>
      </c>
      <c r="W32" s="57"/>
      <c r="X32" s="57">
        <v>14</v>
      </c>
      <c r="Y32" s="57"/>
      <c r="Z32" s="57">
        <v>44</v>
      </c>
      <c r="AA32" s="57"/>
      <c r="AB32" s="57">
        <v>54</v>
      </c>
      <c r="AC32" s="57"/>
      <c r="AD32" s="57">
        <v>22</v>
      </c>
      <c r="AE32" s="57">
        <v>32</v>
      </c>
      <c r="AF32" s="71"/>
      <c r="AG32" s="57"/>
      <c r="AH32" s="75"/>
      <c r="AI32" s="57">
        <v>54</v>
      </c>
      <c r="AJ32" s="57"/>
      <c r="AK32" s="57">
        <v>62</v>
      </c>
      <c r="AL32" s="57">
        <v>72</v>
      </c>
      <c r="AM32" s="57">
        <v>84</v>
      </c>
      <c r="AN32" s="57"/>
      <c r="AO32" s="57"/>
      <c r="AP32" s="55"/>
      <c r="AQ32" s="55"/>
      <c r="AR32" s="70"/>
      <c r="AS32" s="57">
        <v>54</v>
      </c>
      <c r="AT32" s="57"/>
      <c r="AU32" s="57">
        <v>62</v>
      </c>
      <c r="AV32" s="57">
        <v>72</v>
      </c>
      <c r="AW32" s="57">
        <v>84</v>
      </c>
      <c r="AX32" s="57"/>
      <c r="AY32" s="71"/>
    </row>
    <row r="33" spans="2:53" x14ac:dyDescent="0.2">
      <c r="B33" s="70"/>
      <c r="C33" s="171" t="s">
        <v>96</v>
      </c>
      <c r="D33" s="171"/>
      <c r="E33" s="171"/>
      <c r="F33" s="171"/>
      <c r="G33" s="171"/>
      <c r="H33" s="171"/>
      <c r="I33" s="171"/>
      <c r="J33" s="171"/>
      <c r="K33" s="171"/>
      <c r="L33" s="57"/>
      <c r="M33" s="57"/>
      <c r="N33" s="57"/>
      <c r="O33" s="57"/>
      <c r="P33" s="71"/>
      <c r="Q33" s="57"/>
      <c r="R33" s="171" t="s">
        <v>98</v>
      </c>
      <c r="S33" s="171"/>
      <c r="T33" s="171"/>
      <c r="U33" s="171"/>
      <c r="V33" s="171"/>
      <c r="W33" s="171"/>
      <c r="X33" s="171"/>
      <c r="Y33" s="171"/>
      <c r="Z33" s="171"/>
      <c r="AA33" s="57"/>
      <c r="AB33" s="57"/>
      <c r="AC33" s="57"/>
      <c r="AD33" s="57"/>
      <c r="AE33" s="57"/>
      <c r="AF33" s="71"/>
      <c r="AG33" s="57"/>
      <c r="AH33" s="75"/>
      <c r="AI33" s="171" t="s">
        <v>103</v>
      </c>
      <c r="AJ33" s="171"/>
      <c r="AK33" s="171"/>
      <c r="AL33" s="171"/>
      <c r="AM33" s="171"/>
      <c r="AN33" s="171"/>
      <c r="AO33" s="171"/>
      <c r="AP33" s="55"/>
      <c r="AQ33" s="55"/>
      <c r="AR33" s="70"/>
      <c r="AS33" s="171" t="s">
        <v>110</v>
      </c>
      <c r="AT33" s="171"/>
      <c r="AU33" s="171"/>
      <c r="AV33" s="171"/>
      <c r="AW33" s="171"/>
      <c r="AX33" s="171"/>
      <c r="AY33" s="172"/>
    </row>
    <row r="34" spans="2:53" ht="15.75" thickBot="1" x14ac:dyDescent="0.25">
      <c r="B34" s="70"/>
      <c r="C34" s="171" t="s">
        <v>97</v>
      </c>
      <c r="D34" s="171"/>
      <c r="E34" s="171"/>
      <c r="F34" s="171"/>
      <c r="G34" s="171"/>
      <c r="H34" s="171"/>
      <c r="I34" s="171"/>
      <c r="J34" s="171"/>
      <c r="K34" s="171"/>
      <c r="L34" s="57"/>
      <c r="M34" s="57"/>
      <c r="N34" s="57"/>
      <c r="O34" s="57"/>
      <c r="P34" s="71"/>
      <c r="Q34" s="57"/>
      <c r="R34" s="171" t="s">
        <v>92</v>
      </c>
      <c r="S34" s="171"/>
      <c r="T34" s="171"/>
      <c r="U34" s="171"/>
      <c r="V34" s="171"/>
      <c r="W34" s="171"/>
      <c r="X34" s="171"/>
      <c r="Y34" s="171"/>
      <c r="Z34" s="171"/>
      <c r="AA34" s="57"/>
      <c r="AB34" s="57"/>
      <c r="AC34" s="57"/>
      <c r="AD34" s="57"/>
      <c r="AE34" s="57"/>
      <c r="AF34" s="71"/>
      <c r="AG34" s="57"/>
      <c r="AH34" s="75"/>
      <c r="AI34" s="171" t="s">
        <v>104</v>
      </c>
      <c r="AJ34" s="171"/>
      <c r="AK34" s="171"/>
      <c r="AL34" s="171"/>
      <c r="AM34" s="171"/>
      <c r="AN34" s="55"/>
      <c r="AO34" s="55"/>
      <c r="AP34" s="55"/>
      <c r="AQ34" s="55"/>
      <c r="AR34" s="72"/>
      <c r="AS34" s="83" t="s">
        <v>104</v>
      </c>
      <c r="AT34" s="83"/>
      <c r="AU34" s="83"/>
      <c r="AV34" s="83"/>
      <c r="AW34" s="83"/>
      <c r="AX34" s="81"/>
      <c r="AY34" s="82"/>
    </row>
    <row r="35" spans="2:53" ht="15.75" thickBot="1" x14ac:dyDescent="0.25"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9"/>
      <c r="Q35" s="77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9"/>
      <c r="AG35" s="57"/>
      <c r="AH35" s="77"/>
      <c r="AI35" s="78"/>
      <c r="AJ35" s="78"/>
      <c r="AK35" s="78"/>
      <c r="AL35" s="78"/>
      <c r="AM35" s="78"/>
      <c r="AN35" s="78"/>
      <c r="AO35" s="78"/>
      <c r="AP35" s="78"/>
      <c r="AQ35" s="79"/>
      <c r="AR35" s="70"/>
      <c r="AS35" s="55"/>
      <c r="AT35" s="55"/>
      <c r="AU35" s="55"/>
      <c r="AV35" s="55"/>
      <c r="AW35" s="55"/>
      <c r="AX35" s="55"/>
      <c r="AY35" s="80"/>
    </row>
    <row r="36" spans="2:53" s="95" customFormat="1" ht="15.75" thickBot="1" x14ac:dyDescent="0.25">
      <c r="B36" s="90"/>
      <c r="C36" s="168" t="s">
        <v>99</v>
      </c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70"/>
      <c r="O36" s="91"/>
      <c r="P36" s="92"/>
      <c r="Q36" s="93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2"/>
      <c r="AG36" s="91"/>
      <c r="AH36" s="93"/>
      <c r="AI36" s="168" t="s">
        <v>105</v>
      </c>
      <c r="AJ36" s="169"/>
      <c r="AK36" s="169"/>
      <c r="AL36" s="169"/>
      <c r="AM36" s="169"/>
      <c r="AN36" s="169"/>
      <c r="AO36" s="170"/>
      <c r="AP36" s="94"/>
      <c r="AQ36" s="96"/>
      <c r="AR36" s="90"/>
      <c r="AS36" s="94"/>
      <c r="AT36" s="94"/>
      <c r="AU36" s="94"/>
      <c r="AV36" s="94"/>
      <c r="AW36" s="94"/>
      <c r="AX36" s="94"/>
      <c r="AY36" s="96"/>
      <c r="BA36" s="88"/>
    </row>
    <row r="37" spans="2:53" x14ac:dyDescent="0.2">
      <c r="B37" s="70"/>
      <c r="C37" s="57">
        <v>1</v>
      </c>
      <c r="D37" s="57"/>
      <c r="E37" s="57">
        <v>3</v>
      </c>
      <c r="F37" s="57"/>
      <c r="G37" s="57">
        <v>5</v>
      </c>
      <c r="H37" s="57"/>
      <c r="I37" s="57">
        <v>13</v>
      </c>
      <c r="J37" s="57"/>
      <c r="K37" s="57">
        <v>21</v>
      </c>
      <c r="L37" s="57">
        <v>31</v>
      </c>
      <c r="M37" s="57">
        <v>43</v>
      </c>
      <c r="N37" s="57"/>
      <c r="O37" s="57"/>
      <c r="P37" s="71"/>
      <c r="Q37" s="75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71"/>
      <c r="AG37" s="57"/>
      <c r="AH37" s="75"/>
      <c r="AI37" s="57">
        <v>13</v>
      </c>
      <c r="AJ37" s="57"/>
      <c r="AK37" s="57">
        <v>21</v>
      </c>
      <c r="AL37" s="57">
        <v>31</v>
      </c>
      <c r="AM37" s="57">
        <v>41</v>
      </c>
      <c r="AN37" s="57"/>
      <c r="AO37" s="57"/>
      <c r="AP37" s="55"/>
      <c r="AQ37" s="80"/>
      <c r="AR37" s="70"/>
      <c r="AS37" s="55"/>
      <c r="AT37" s="55"/>
      <c r="AU37" s="55"/>
      <c r="AV37" s="55"/>
      <c r="AW37" s="55"/>
      <c r="AX37" s="55"/>
      <c r="AY37" s="80"/>
    </row>
    <row r="38" spans="2:53" x14ac:dyDescent="0.2">
      <c r="B38" s="70"/>
      <c r="C38" s="56"/>
      <c r="D38" s="57"/>
      <c r="E38" s="56"/>
      <c r="F38" s="57"/>
      <c r="G38" s="56"/>
      <c r="H38" s="57"/>
      <c r="I38" s="56"/>
      <c r="J38" s="57"/>
      <c r="K38" s="56"/>
      <c r="L38" s="56"/>
      <c r="M38" s="56"/>
      <c r="N38" s="57"/>
      <c r="O38" s="57"/>
      <c r="P38" s="71"/>
      <c r="Q38" s="75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71"/>
      <c r="AG38" s="57"/>
      <c r="AH38" s="75"/>
      <c r="AI38" s="56"/>
      <c r="AJ38" s="57"/>
      <c r="AK38" s="56"/>
      <c r="AL38" s="56"/>
      <c r="AM38" s="56"/>
      <c r="AN38" s="57"/>
      <c r="AO38" s="57"/>
      <c r="AP38" s="55"/>
      <c r="AQ38" s="80"/>
      <c r="AR38" s="70"/>
      <c r="AS38" s="55"/>
      <c r="AT38" s="55"/>
      <c r="AU38" s="55"/>
      <c r="AV38" s="55"/>
      <c r="AW38" s="55"/>
      <c r="AX38" s="55"/>
      <c r="AY38" s="80"/>
    </row>
    <row r="39" spans="2:53" ht="15.75" thickBot="1" x14ac:dyDescent="0.25">
      <c r="B39" s="70"/>
      <c r="C39" s="58"/>
      <c r="D39" s="59"/>
      <c r="E39" s="58"/>
      <c r="F39" s="59"/>
      <c r="G39" s="58"/>
      <c r="H39" s="59"/>
      <c r="I39" s="58"/>
      <c r="J39" s="59"/>
      <c r="K39" s="63"/>
      <c r="L39" s="63"/>
      <c r="M39" s="58"/>
      <c r="N39" s="59"/>
      <c r="O39" s="57"/>
      <c r="P39" s="71"/>
      <c r="Q39" s="75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71"/>
      <c r="AG39" s="57"/>
      <c r="AH39" s="75"/>
      <c r="AI39" s="58"/>
      <c r="AJ39" s="59"/>
      <c r="AK39" s="63"/>
      <c r="AL39" s="59"/>
      <c r="AM39" s="63"/>
      <c r="AN39" s="62"/>
      <c r="AO39" s="57"/>
      <c r="AP39" s="55"/>
      <c r="AQ39" s="80"/>
      <c r="AR39" s="70"/>
      <c r="AS39" s="55"/>
      <c r="AT39" s="55"/>
      <c r="AU39" s="55"/>
      <c r="AV39" s="55"/>
      <c r="AW39" s="55"/>
      <c r="AX39" s="55"/>
      <c r="AY39" s="80"/>
    </row>
    <row r="40" spans="2:53" x14ac:dyDescent="0.2">
      <c r="B40" s="70"/>
      <c r="C40" s="57"/>
      <c r="D40" s="60"/>
      <c r="E40" s="57"/>
      <c r="F40" s="60"/>
      <c r="G40" s="57"/>
      <c r="H40" s="60"/>
      <c r="I40" s="57"/>
      <c r="J40" s="60"/>
      <c r="K40" s="64"/>
      <c r="L40" s="64"/>
      <c r="M40" s="57"/>
      <c r="N40" s="60"/>
      <c r="O40" s="57"/>
      <c r="P40" s="71"/>
      <c r="Q40" s="75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71"/>
      <c r="AG40" s="57"/>
      <c r="AH40" s="75"/>
      <c r="AI40" s="57"/>
      <c r="AJ40" s="60"/>
      <c r="AK40" s="64"/>
      <c r="AL40" s="60"/>
      <c r="AM40" s="64"/>
      <c r="AN40" s="62"/>
      <c r="AO40" s="57"/>
      <c r="AP40" s="55"/>
      <c r="AQ40" s="80"/>
      <c r="AR40" s="70"/>
      <c r="AS40" s="55"/>
      <c r="AT40" s="55"/>
      <c r="AU40" s="55"/>
      <c r="AV40" s="55"/>
      <c r="AW40" s="55"/>
      <c r="AX40" s="55"/>
      <c r="AY40" s="80"/>
    </row>
    <row r="41" spans="2:53" x14ac:dyDescent="0.2">
      <c r="B41" s="70"/>
      <c r="C41" s="56"/>
      <c r="D41" s="57"/>
      <c r="E41" s="56"/>
      <c r="F41" s="57"/>
      <c r="G41" s="56"/>
      <c r="H41" s="57"/>
      <c r="I41" s="56"/>
      <c r="J41" s="57"/>
      <c r="K41" s="56"/>
      <c r="L41" s="56"/>
      <c r="M41" s="56"/>
      <c r="N41" s="57"/>
      <c r="O41" s="57"/>
      <c r="P41" s="71"/>
      <c r="Q41" s="75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71"/>
      <c r="AG41" s="57"/>
      <c r="AH41" s="75"/>
      <c r="AI41" s="56"/>
      <c r="AJ41" s="57"/>
      <c r="AK41" s="56"/>
      <c r="AL41" s="56"/>
      <c r="AM41" s="56"/>
      <c r="AN41" s="57"/>
      <c r="AO41" s="57"/>
      <c r="AP41" s="55"/>
      <c r="AQ41" s="80"/>
      <c r="AR41" s="70"/>
      <c r="AS41" s="55"/>
      <c r="AT41" s="55"/>
      <c r="AU41" s="55"/>
      <c r="AV41" s="55"/>
      <c r="AW41" s="55"/>
      <c r="AX41" s="55"/>
      <c r="AY41" s="80"/>
    </row>
    <row r="42" spans="2:53" x14ac:dyDescent="0.2">
      <c r="B42" s="70"/>
      <c r="C42" s="57">
        <v>2</v>
      </c>
      <c r="D42" s="57"/>
      <c r="E42" s="57">
        <v>4</v>
      </c>
      <c r="F42" s="57"/>
      <c r="G42" s="57">
        <v>6</v>
      </c>
      <c r="H42" s="57"/>
      <c r="I42" s="57">
        <v>14</v>
      </c>
      <c r="J42" s="57"/>
      <c r="K42" s="57">
        <v>22</v>
      </c>
      <c r="L42" s="57">
        <v>32</v>
      </c>
      <c r="M42" s="57">
        <v>44</v>
      </c>
      <c r="N42" s="57"/>
      <c r="O42" s="57"/>
      <c r="P42" s="71"/>
      <c r="Q42" s="75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71"/>
      <c r="AG42" s="57"/>
      <c r="AH42" s="75"/>
      <c r="AI42" s="57">
        <v>14</v>
      </c>
      <c r="AJ42" s="57"/>
      <c r="AK42" s="57">
        <v>22</v>
      </c>
      <c r="AL42" s="57">
        <v>32</v>
      </c>
      <c r="AM42" s="57">
        <v>42</v>
      </c>
      <c r="AN42" s="57"/>
      <c r="AO42" s="57"/>
      <c r="AP42" s="55"/>
      <c r="AQ42" s="80"/>
      <c r="AR42" s="70"/>
      <c r="AS42" s="55"/>
      <c r="AT42" s="55"/>
      <c r="AU42" s="55"/>
      <c r="AV42" s="55"/>
      <c r="AW42" s="55"/>
      <c r="AX42" s="55"/>
      <c r="AY42" s="80"/>
    </row>
    <row r="43" spans="2:53" x14ac:dyDescent="0.2">
      <c r="B43" s="70"/>
      <c r="C43" s="171" t="s">
        <v>91</v>
      </c>
      <c r="D43" s="171"/>
      <c r="E43" s="171"/>
      <c r="F43" s="171"/>
      <c r="G43" s="171"/>
      <c r="H43" s="171"/>
      <c r="I43" s="171"/>
      <c r="J43" s="171"/>
      <c r="K43" s="171"/>
      <c r="L43" s="57"/>
      <c r="M43" s="57"/>
      <c r="N43" s="57"/>
      <c r="O43" s="57"/>
      <c r="P43" s="71"/>
      <c r="Q43" s="75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71"/>
      <c r="AG43" s="57"/>
      <c r="AH43" s="75"/>
      <c r="AI43" s="171" t="s">
        <v>89</v>
      </c>
      <c r="AJ43" s="171"/>
      <c r="AK43" s="171"/>
      <c r="AL43" s="171"/>
      <c r="AM43" s="171"/>
      <c r="AN43" s="171"/>
      <c r="AO43" s="171"/>
      <c r="AP43" s="55"/>
      <c r="AQ43" s="80"/>
      <c r="AR43" s="70"/>
      <c r="AS43" s="55"/>
      <c r="AT43" s="55"/>
      <c r="AU43" s="55"/>
      <c r="AV43" s="55"/>
      <c r="AW43" s="55"/>
      <c r="AX43" s="55"/>
      <c r="AY43" s="80"/>
    </row>
    <row r="44" spans="2:53" x14ac:dyDescent="0.2">
      <c r="B44" s="70"/>
      <c r="C44" s="171" t="s">
        <v>92</v>
      </c>
      <c r="D44" s="171"/>
      <c r="E44" s="171"/>
      <c r="F44" s="171"/>
      <c r="G44" s="171"/>
      <c r="H44" s="171"/>
      <c r="I44" s="171"/>
      <c r="J44" s="171"/>
      <c r="K44" s="171"/>
      <c r="L44" s="57"/>
      <c r="M44" s="57"/>
      <c r="N44" s="57"/>
      <c r="O44" s="57"/>
      <c r="P44" s="71"/>
      <c r="Q44" s="75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71"/>
      <c r="AG44" s="57"/>
      <c r="AH44" s="75"/>
      <c r="AI44" s="66" t="s">
        <v>97</v>
      </c>
      <c r="AJ44" s="66"/>
      <c r="AK44" s="66"/>
      <c r="AL44" s="66"/>
      <c r="AM44" s="66"/>
      <c r="AN44" s="55"/>
      <c r="AO44" s="55"/>
      <c r="AP44" s="55"/>
      <c r="AQ44" s="80"/>
      <c r="AR44" s="70"/>
      <c r="AS44" s="55"/>
      <c r="AT44" s="55"/>
      <c r="AU44" s="55"/>
      <c r="AV44" s="55"/>
      <c r="AW44" s="55"/>
      <c r="AX44" s="55"/>
      <c r="AY44" s="80"/>
    </row>
    <row r="45" spans="2:53" ht="8.25" customHeight="1" thickBot="1" x14ac:dyDescent="0.25">
      <c r="B45" s="72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4"/>
      <c r="Q45" s="76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4"/>
      <c r="AG45" s="57"/>
      <c r="AH45" s="76"/>
      <c r="AI45" s="81"/>
      <c r="AJ45" s="81"/>
      <c r="AK45" s="81"/>
      <c r="AL45" s="81"/>
      <c r="AM45" s="81"/>
      <c r="AN45" s="81"/>
      <c r="AO45" s="81"/>
      <c r="AP45" s="81"/>
      <c r="AQ45" s="82"/>
      <c r="AR45" s="72"/>
      <c r="AS45" s="81"/>
      <c r="AT45" s="81"/>
      <c r="AU45" s="81"/>
      <c r="AV45" s="81"/>
      <c r="AW45" s="81"/>
      <c r="AX45" s="81"/>
      <c r="AY45" s="82"/>
    </row>
  </sheetData>
  <sheetProtection password="CE28" sheet="1" formatCells="0" formatColumns="0" formatRows="0"/>
  <mergeCells count="38">
    <mergeCell ref="C2:AX2"/>
    <mergeCell ref="C44:K44"/>
    <mergeCell ref="AI14:AM14"/>
    <mergeCell ref="AI13:AO13"/>
    <mergeCell ref="AI23:AO23"/>
    <mergeCell ref="AI24:AM24"/>
    <mergeCell ref="R33:Z33"/>
    <mergeCell ref="R34:Z34"/>
    <mergeCell ref="C33:K33"/>
    <mergeCell ref="C34:K34"/>
    <mergeCell ref="C13:G13"/>
    <mergeCell ref="AI43:AO43"/>
    <mergeCell ref="B4:AF4"/>
    <mergeCell ref="R6:AC6"/>
    <mergeCell ref="C16:N16"/>
    <mergeCell ref="C26:N26"/>
    <mergeCell ref="C43:K43"/>
    <mergeCell ref="R13:V13"/>
    <mergeCell ref="C23:G23"/>
    <mergeCell ref="C24:G24"/>
    <mergeCell ref="R23:Z23"/>
    <mergeCell ref="C36:N36"/>
    <mergeCell ref="R26:AE26"/>
    <mergeCell ref="R16:AE16"/>
    <mergeCell ref="AS16:AW16"/>
    <mergeCell ref="AS6:AW6"/>
    <mergeCell ref="AS33:AY33"/>
    <mergeCell ref="AH4:AY4"/>
    <mergeCell ref="BA11:BA12"/>
    <mergeCell ref="AS26:AX26"/>
    <mergeCell ref="AI33:AO33"/>
    <mergeCell ref="C6:N6"/>
    <mergeCell ref="AI6:AO6"/>
    <mergeCell ref="AI16:AO16"/>
    <mergeCell ref="AI26:AO26"/>
    <mergeCell ref="AI36:AO36"/>
    <mergeCell ref="AI34:AM34"/>
    <mergeCell ref="R24:Z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Starter</vt:lpstr>
      <vt:lpstr>Contactor 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2021-10-09T19:55:54Z</dcterms:modified>
</cp:coreProperties>
</file>